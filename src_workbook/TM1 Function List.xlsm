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65" windowWidth="15585" windowHeight="8250" tabRatio="778" firstSheet="1" activeTab="1"/>
  </bookViews>
  <sheets>
    <sheet name="General" sheetId="9" r:id="rId1"/>
    <sheet name="Theme" sheetId="4" r:id="rId2"/>
    <sheet name="Matching Functions" sheetId="5" r:id="rId3"/>
    <sheet name="KWLookup" sheetId="10" r:id="rId4"/>
    <sheet name="Keywords" sheetId="2" r:id="rId5"/>
    <sheet name="KeywordXML" sheetId="12" r:id="rId6"/>
    <sheet name="Keyword Lists" sheetId="7" r:id="rId7"/>
    <sheet name="WSKeywords" sheetId="11" r:id="rId8"/>
    <sheet name="TM1S.cfg" sheetId="8" r:id="rId9"/>
    <sheet name="Symbols" sheetId="1" r:id="rId10"/>
  </sheets>
  <definedNames>
    <definedName name="_xlnm._FilterDatabase" localSheetId="4" hidden="1">Keywords!$A$1:$E$243</definedName>
    <definedName name="_xlnm._FilterDatabase" localSheetId="8" hidden="1">TM1S.cfg!$A$1:$E$98</definedName>
    <definedName name="KeywordGroups">KWLookup!$B$18:$B$46</definedName>
    <definedName name="KeywordGroupsLookup">KWLookup!$B$18:$D$46</definedName>
    <definedName name="KeywordTypes">KWLookup!$B$6:$B$9</definedName>
    <definedName name="KeywordUsage">KWLookup!$B$12:$B$14</definedName>
  </definedNames>
  <calcPr calcId="145621" concurrentCalc="0"/>
</workbook>
</file>

<file path=xl/calcChain.xml><?xml version="1.0" encoding="utf-8"?>
<calcChain xmlns="http://schemas.openxmlformats.org/spreadsheetml/2006/main">
  <c r="H135" i="2" l="1"/>
  <c r="H222" i="2"/>
  <c r="H223" i="2"/>
  <c r="H79" i="2"/>
  <c r="H80" i="2"/>
  <c r="H81" i="2"/>
  <c r="H82" i="2"/>
  <c r="H148" i="2"/>
  <c r="H149" i="2"/>
  <c r="H216" i="2"/>
  <c r="H217" i="2"/>
  <c r="H218" i="2"/>
  <c r="H220" i="2"/>
  <c r="H243" i="2"/>
  <c r="H16" i="2"/>
  <c r="H19" i="2"/>
  <c r="H33" i="2"/>
  <c r="H99" i="2"/>
  <c r="H100" i="2"/>
  <c r="H102" i="2"/>
  <c r="H103" i="2"/>
  <c r="H213" i="2"/>
  <c r="H98" i="2"/>
  <c r="H104" i="2"/>
  <c r="H105" i="2"/>
  <c r="H106" i="2"/>
  <c r="H109" i="2"/>
  <c r="H110" i="2"/>
  <c r="H111" i="2"/>
  <c r="H112" i="2"/>
  <c r="H113" i="2"/>
  <c r="H114" i="2"/>
  <c r="H117" i="2"/>
  <c r="H128" i="2"/>
  <c r="H161" i="2"/>
  <c r="H168" i="2"/>
  <c r="H38" i="2"/>
  <c r="H191" i="2"/>
  <c r="H2" i="2"/>
  <c r="H3" i="2"/>
  <c r="H10" i="2"/>
  <c r="H13" i="2"/>
  <c r="H39" i="2"/>
  <c r="H121" i="2"/>
  <c r="H134" i="2"/>
  <c r="H136" i="2"/>
  <c r="H139" i="2"/>
  <c r="H140" i="2"/>
  <c r="H143" i="2"/>
  <c r="H145" i="2"/>
  <c r="H147" i="2"/>
  <c r="H169" i="2"/>
  <c r="H172" i="2"/>
  <c r="H173" i="2"/>
  <c r="H187" i="2"/>
  <c r="H188" i="2"/>
  <c r="H190" i="2"/>
  <c r="H214" i="2"/>
  <c r="H23" i="2"/>
  <c r="H30" i="2"/>
  <c r="H32" i="2"/>
  <c r="H84" i="2"/>
  <c r="H126" i="2"/>
  <c r="H133" i="2"/>
  <c r="H141" i="2"/>
  <c r="H142" i="2"/>
  <c r="H152" i="2"/>
  <c r="H176" i="2"/>
  <c r="H192" i="2"/>
  <c r="H210" i="2"/>
  <c r="H221" i="2"/>
  <c r="H224" i="2"/>
  <c r="H123" i="2"/>
  <c r="H124" i="2"/>
  <c r="H189" i="2"/>
  <c r="H8" i="2"/>
  <c r="H9" i="2"/>
  <c r="H183" i="2"/>
  <c r="H185" i="2"/>
  <c r="H215" i="2"/>
  <c r="H14" i="2"/>
  <c r="H15" i="2"/>
  <c r="H17" i="2"/>
  <c r="H18" i="2"/>
  <c r="H31" i="2"/>
  <c r="H182" i="2"/>
  <c r="H34" i="2"/>
  <c r="H35" i="2"/>
  <c r="H36" i="2"/>
  <c r="H37" i="2"/>
  <c r="H5" i="2"/>
  <c r="H24" i="2"/>
  <c r="H25" i="2"/>
  <c r="H26" i="2"/>
  <c r="H27" i="2"/>
  <c r="H28" i="2"/>
  <c r="H29" i="2"/>
  <c r="H40" i="2"/>
  <c r="H41" i="2"/>
  <c r="H47" i="2"/>
  <c r="H48" i="2"/>
  <c r="H49" i="2"/>
  <c r="H51" i="2"/>
  <c r="H52" i="2"/>
  <c r="H53" i="2"/>
  <c r="H54" i="2"/>
  <c r="H42" i="2"/>
  <c r="H43" i="2"/>
  <c r="H44" i="2"/>
  <c r="H45" i="2"/>
  <c r="H46" i="2"/>
  <c r="H88" i="2"/>
  <c r="H89" i="2"/>
  <c r="H90" i="2"/>
  <c r="H91" i="2"/>
  <c r="H92" i="2"/>
  <c r="H93" i="2"/>
  <c r="H94" i="2"/>
  <c r="H95" i="2"/>
  <c r="H96" i="2"/>
  <c r="H97" i="2"/>
  <c r="H156" i="2"/>
  <c r="H157" i="2"/>
  <c r="H158" i="2"/>
  <c r="H159" i="2"/>
  <c r="H184" i="2"/>
  <c r="H115" i="2"/>
  <c r="H116" i="2"/>
  <c r="H119" i="2"/>
  <c r="H120" i="2"/>
  <c r="H129" i="2"/>
  <c r="H130" i="2"/>
  <c r="H131" i="2"/>
  <c r="H137" i="2"/>
  <c r="H138" i="2"/>
  <c r="H162" i="2"/>
  <c r="H163" i="2"/>
  <c r="H164" i="2"/>
  <c r="H212" i="2"/>
  <c r="H50" i="2"/>
  <c r="H85" i="2"/>
  <c r="H127" i="2"/>
  <c r="H174" i="2"/>
  <c r="H132" i="2"/>
  <c r="H178" i="2"/>
  <c r="H179" i="2"/>
  <c r="H180" i="2"/>
  <c r="H186" i="2"/>
  <c r="H4" i="2"/>
  <c r="H6" i="2"/>
  <c r="H11" i="2"/>
  <c r="H12" i="2"/>
  <c r="H86" i="2"/>
  <c r="H87" i="2"/>
  <c r="H107" i="2"/>
  <c r="H108" i="2"/>
  <c r="H171" i="2"/>
  <c r="H177" i="2"/>
  <c r="H20" i="2"/>
  <c r="H21" i="2"/>
  <c r="H22" i="2"/>
  <c r="H101" i="2"/>
  <c r="H118" i="2"/>
  <c r="H175" i="2"/>
  <c r="H181" i="2"/>
  <c r="H197" i="2"/>
  <c r="H198" i="2"/>
  <c r="H199" i="2"/>
  <c r="H200" i="2"/>
  <c r="H201" i="2"/>
  <c r="H202" i="2"/>
  <c r="H203" i="2"/>
  <c r="H204" i="2"/>
  <c r="H205" i="2"/>
  <c r="H206" i="2"/>
  <c r="H207" i="2"/>
  <c r="H208" i="2"/>
  <c r="H209" i="2"/>
  <c r="H167" i="2"/>
  <c r="H226" i="2"/>
  <c r="H227" i="2"/>
  <c r="H228" i="2"/>
  <c r="H229" i="2"/>
  <c r="H230" i="2"/>
  <c r="H231" i="2"/>
  <c r="H232" i="2"/>
  <c r="H233" i="2"/>
  <c r="H234" i="2"/>
  <c r="H235" i="2"/>
  <c r="H236" i="2"/>
  <c r="H237" i="2"/>
  <c r="H238" i="2"/>
  <c r="H239" i="2"/>
  <c r="H240" i="2"/>
  <c r="H241" i="2"/>
  <c r="H7" i="2"/>
  <c r="H75" i="2"/>
  <c r="H76" i="2"/>
  <c r="H122" i="2"/>
  <c r="H125" i="2"/>
  <c r="H150" i="2"/>
  <c r="H151" i="2"/>
  <c r="H170" i="2"/>
  <c r="H195" i="2"/>
  <c r="H196" i="2"/>
  <c r="H219" i="2"/>
  <c r="H242" i="2"/>
  <c r="H56" i="2"/>
  <c r="H57" i="2"/>
  <c r="H58" i="2"/>
  <c r="H59" i="2"/>
  <c r="H60" i="2"/>
  <c r="H61" i="2"/>
  <c r="H62" i="2"/>
  <c r="H63" i="2"/>
  <c r="H64" i="2"/>
  <c r="H65" i="2"/>
  <c r="H66" i="2"/>
  <c r="H67" i="2"/>
  <c r="H68" i="2"/>
  <c r="H69" i="2"/>
  <c r="H70" i="2"/>
  <c r="H71" i="2"/>
  <c r="H72" i="2"/>
  <c r="H73" i="2"/>
  <c r="H74" i="2"/>
  <c r="H77" i="2"/>
  <c r="H78" i="2"/>
  <c r="H146" i="2"/>
  <c r="H155" i="2"/>
  <c r="H160" i="2"/>
  <c r="H211" i="2"/>
  <c r="H225" i="2"/>
  <c r="H153" i="2"/>
  <c r="H193" i="2"/>
  <c r="H55" i="2"/>
  <c r="H144" i="2"/>
  <c r="H165" i="2"/>
  <c r="H166" i="2"/>
  <c r="H154" i="2"/>
  <c r="H194" i="2"/>
  <c r="H83" i="2"/>
  <c r="C135" i="2"/>
  <c r="C222" i="2"/>
  <c r="C223" i="2"/>
  <c r="C79" i="2"/>
  <c r="C80" i="2"/>
  <c r="C81" i="2"/>
  <c r="C82" i="2"/>
  <c r="C148" i="2"/>
  <c r="C149" i="2"/>
  <c r="C216" i="2"/>
  <c r="C217" i="2"/>
  <c r="C218" i="2"/>
  <c r="C220" i="2"/>
  <c r="C243" i="2"/>
  <c r="C16" i="2"/>
  <c r="C19" i="2"/>
  <c r="C33" i="2"/>
  <c r="C99" i="2"/>
  <c r="C100" i="2"/>
  <c r="C102" i="2"/>
  <c r="C103" i="2"/>
  <c r="C213" i="2"/>
  <c r="C98" i="2"/>
  <c r="C104" i="2"/>
  <c r="C105" i="2"/>
  <c r="C106" i="2"/>
  <c r="C109" i="2"/>
  <c r="C110" i="2"/>
  <c r="C111" i="2"/>
  <c r="C112" i="2"/>
  <c r="C113" i="2"/>
  <c r="C114" i="2"/>
  <c r="C117" i="2"/>
  <c r="C128" i="2"/>
  <c r="C161" i="2"/>
  <c r="C168" i="2"/>
  <c r="C38" i="2"/>
  <c r="C191" i="2"/>
  <c r="C2" i="2"/>
  <c r="C3" i="2"/>
  <c r="C10" i="2"/>
  <c r="C13" i="2"/>
  <c r="C39" i="2"/>
  <c r="C121" i="2"/>
  <c r="C123" i="2"/>
  <c r="C124" i="2"/>
  <c r="C134" i="2"/>
  <c r="C136" i="2"/>
  <c r="C139" i="2"/>
  <c r="C140" i="2"/>
  <c r="C143" i="2"/>
  <c r="C145" i="2"/>
  <c r="C147" i="2"/>
  <c r="C169" i="2"/>
  <c r="C172" i="2"/>
  <c r="C173" i="2"/>
  <c r="C187" i="2"/>
  <c r="C188" i="2"/>
  <c r="C189" i="2"/>
  <c r="C190" i="2"/>
  <c r="C214" i="2"/>
  <c r="C23" i="2"/>
  <c r="C30" i="2"/>
  <c r="C32" i="2"/>
  <c r="C84" i="2"/>
  <c r="C126" i="2"/>
  <c r="C133" i="2"/>
  <c r="C141" i="2"/>
  <c r="C142" i="2"/>
  <c r="C152" i="2"/>
  <c r="C176" i="2"/>
  <c r="C192" i="2"/>
  <c r="C210" i="2"/>
  <c r="C221" i="2"/>
  <c r="C224" i="2"/>
  <c r="C14" i="2"/>
  <c r="C15" i="2"/>
  <c r="C17" i="2"/>
  <c r="C18" i="2"/>
  <c r="C31" i="2"/>
  <c r="C34" i="2"/>
  <c r="C35" i="2"/>
  <c r="C36" i="2"/>
  <c r="C37" i="2"/>
  <c r="C182" i="2"/>
  <c r="C5" i="2"/>
  <c r="C24" i="2"/>
  <c r="C25" i="2"/>
  <c r="C26" i="2"/>
  <c r="C27" i="2"/>
  <c r="C28" i="2"/>
  <c r="C29" i="2"/>
  <c r="C40" i="2"/>
  <c r="C41" i="2"/>
  <c r="C42" i="2"/>
  <c r="C43" i="2"/>
  <c r="C44" i="2"/>
  <c r="C45" i="2"/>
  <c r="C46" i="2"/>
  <c r="C47" i="2"/>
  <c r="C48" i="2"/>
  <c r="C49" i="2"/>
  <c r="C51" i="2"/>
  <c r="C52" i="2"/>
  <c r="C53" i="2"/>
  <c r="C54" i="2"/>
  <c r="C7" i="2"/>
  <c r="C75" i="2"/>
  <c r="C76" i="2"/>
  <c r="C88" i="2"/>
  <c r="C89" i="2"/>
  <c r="C90" i="2"/>
  <c r="C91" i="2"/>
  <c r="C92" i="2"/>
  <c r="C93" i="2"/>
  <c r="C94" i="2"/>
  <c r="C95" i="2"/>
  <c r="C96" i="2"/>
  <c r="C97" i="2"/>
  <c r="C122" i="2"/>
  <c r="C125" i="2"/>
  <c r="C150" i="2"/>
  <c r="C151" i="2"/>
  <c r="C170" i="2"/>
  <c r="C195" i="2"/>
  <c r="C196" i="2"/>
  <c r="C219" i="2"/>
  <c r="C242" i="2"/>
  <c r="C156" i="2"/>
  <c r="C157" i="2"/>
  <c r="C158" i="2"/>
  <c r="C159" i="2"/>
  <c r="C184" i="2"/>
  <c r="C115" i="2"/>
  <c r="C116" i="2"/>
  <c r="C119" i="2"/>
  <c r="C120" i="2"/>
  <c r="C129" i="2"/>
  <c r="C130" i="2"/>
  <c r="C131" i="2"/>
  <c r="C137" i="2"/>
  <c r="C138" i="2"/>
  <c r="C162" i="2"/>
  <c r="C163" i="2"/>
  <c r="C164" i="2"/>
  <c r="C212" i="2"/>
  <c r="C50" i="2"/>
  <c r="C85" i="2"/>
  <c r="C127" i="2"/>
  <c r="C174" i="2"/>
  <c r="C132" i="2"/>
  <c r="C178" i="2"/>
  <c r="C179" i="2"/>
  <c r="C180" i="2"/>
  <c r="C186" i="2"/>
  <c r="C4" i="2"/>
  <c r="C6" i="2"/>
  <c r="C11" i="2"/>
  <c r="C12" i="2"/>
  <c r="C86" i="2"/>
  <c r="C87" i="2"/>
  <c r="C107" i="2"/>
  <c r="C108" i="2"/>
  <c r="C171" i="2"/>
  <c r="C177" i="2"/>
  <c r="C20" i="2"/>
  <c r="C21" i="2"/>
  <c r="C22" i="2"/>
  <c r="C101" i="2"/>
  <c r="C118" i="2"/>
  <c r="C175" i="2"/>
  <c r="C181" i="2"/>
  <c r="C8" i="2"/>
  <c r="C9" i="2"/>
  <c r="C55" i="2"/>
  <c r="C144" i="2"/>
  <c r="C153" i="2"/>
  <c r="C165" i="2"/>
  <c r="C166" i="2"/>
  <c r="C183" i="2"/>
  <c r="C185" i="2"/>
  <c r="C193" i="2"/>
  <c r="C197" i="2"/>
  <c r="C198" i="2"/>
  <c r="C199" i="2"/>
  <c r="C200" i="2"/>
  <c r="C201" i="2"/>
  <c r="C202" i="2"/>
  <c r="C203" i="2"/>
  <c r="C204" i="2"/>
  <c r="C205" i="2"/>
  <c r="C206" i="2"/>
  <c r="C207" i="2"/>
  <c r="C208" i="2"/>
  <c r="C209" i="2"/>
  <c r="C215" i="2"/>
  <c r="C56" i="2"/>
  <c r="C57" i="2"/>
  <c r="C58" i="2"/>
  <c r="C59" i="2"/>
  <c r="C60" i="2"/>
  <c r="C61" i="2"/>
  <c r="C62" i="2"/>
  <c r="C63" i="2"/>
  <c r="C64" i="2"/>
  <c r="C65" i="2"/>
  <c r="C66" i="2"/>
  <c r="C67" i="2"/>
  <c r="C68" i="2"/>
  <c r="C69" i="2"/>
  <c r="C70" i="2"/>
  <c r="C71" i="2"/>
  <c r="C72" i="2"/>
  <c r="C73" i="2"/>
  <c r="C74" i="2"/>
  <c r="C77" i="2"/>
  <c r="C78" i="2"/>
  <c r="C146" i="2"/>
  <c r="C155" i="2"/>
  <c r="C160" i="2"/>
  <c r="C211" i="2"/>
  <c r="C225" i="2"/>
  <c r="C154" i="2"/>
  <c r="C167" i="2"/>
  <c r="C194" i="2"/>
  <c r="C226" i="2"/>
  <c r="C227" i="2"/>
  <c r="C228" i="2"/>
  <c r="C229" i="2"/>
  <c r="C230" i="2"/>
  <c r="C231" i="2"/>
  <c r="C232" i="2"/>
  <c r="C233" i="2"/>
  <c r="C234" i="2"/>
  <c r="C235" i="2"/>
  <c r="C236" i="2"/>
  <c r="C237" i="2"/>
  <c r="C238" i="2"/>
  <c r="C239" i="2"/>
  <c r="C240" i="2"/>
  <c r="C241" i="2"/>
  <c r="C83" i="2"/>
  <c r="A48" i="10"/>
  <c r="F5" i="4"/>
  <c r="E5" i="4"/>
  <c r="D5" i="4"/>
  <c r="F10" i="4"/>
  <c r="E10" i="4"/>
  <c r="D10" i="4"/>
  <c r="F9" i="4"/>
  <c r="E9" i="4"/>
  <c r="D9" i="4"/>
  <c r="F6" i="4"/>
  <c r="E6" i="4"/>
  <c r="D6" i="4"/>
  <c r="F4" i="4"/>
  <c r="E4" i="4"/>
  <c r="D4" i="4"/>
  <c r="F8" i="4"/>
  <c r="E8" i="4"/>
  <c r="D8" i="4"/>
  <c r="F3" i="4"/>
  <c r="E3" i="4"/>
  <c r="D3" i="4"/>
  <c r="F45" i="4"/>
  <c r="E45" i="4"/>
  <c r="D45" i="4"/>
  <c r="F38" i="4"/>
  <c r="E38" i="4"/>
  <c r="D38" i="4"/>
  <c r="F26" i="4"/>
  <c r="E26" i="4"/>
  <c r="D26" i="4"/>
  <c r="F31" i="4"/>
  <c r="E31" i="4"/>
  <c r="D31" i="4"/>
  <c r="D21" i="4"/>
  <c r="E21" i="4"/>
  <c r="F21" i="4"/>
  <c r="D22" i="4"/>
  <c r="E22" i="4"/>
  <c r="F22" i="4"/>
  <c r="D23" i="4"/>
  <c r="E23" i="4"/>
  <c r="F23" i="4"/>
  <c r="D24" i="4"/>
  <c r="E24" i="4"/>
  <c r="F24" i="4"/>
  <c r="D27" i="4"/>
  <c r="E27" i="4"/>
  <c r="F27" i="4"/>
  <c r="D28" i="4"/>
  <c r="E28" i="4"/>
  <c r="F28" i="4"/>
  <c r="D29" i="4"/>
  <c r="E29" i="4"/>
  <c r="F29" i="4"/>
  <c r="D30" i="4"/>
  <c r="E30" i="4"/>
  <c r="F30" i="4"/>
  <c r="D25" i="4"/>
  <c r="E25" i="4"/>
  <c r="F25" i="4"/>
  <c r="D32" i="4"/>
  <c r="E32" i="4"/>
  <c r="F32" i="4"/>
  <c r="D33" i="4"/>
  <c r="E33" i="4"/>
  <c r="F33" i="4"/>
  <c r="D34" i="4"/>
  <c r="E34" i="4"/>
  <c r="F34" i="4"/>
  <c r="D35" i="4"/>
  <c r="E35" i="4"/>
  <c r="F35" i="4"/>
  <c r="D36" i="4"/>
  <c r="E36" i="4"/>
  <c r="F36" i="4"/>
  <c r="D37" i="4"/>
  <c r="E37" i="4"/>
  <c r="F37" i="4"/>
  <c r="D39" i="4"/>
  <c r="E39" i="4"/>
  <c r="F39" i="4"/>
  <c r="D40" i="4"/>
  <c r="E40" i="4"/>
  <c r="F40" i="4"/>
  <c r="D41" i="4"/>
  <c r="E41" i="4"/>
  <c r="F41" i="4"/>
  <c r="D42" i="4"/>
  <c r="E42" i="4"/>
  <c r="F42" i="4"/>
  <c r="D43" i="4"/>
  <c r="E43" i="4"/>
  <c r="F43" i="4"/>
  <c r="D44" i="4"/>
  <c r="E44" i="4"/>
  <c r="F44" i="4"/>
  <c r="D46" i="4"/>
  <c r="E46" i="4"/>
  <c r="F46" i="4"/>
  <c r="F20" i="4"/>
  <c r="E20" i="4"/>
  <c r="D20" i="4"/>
  <c r="F19" i="4"/>
  <c r="E19" i="4"/>
  <c r="D19" i="4"/>
</calcChain>
</file>

<file path=xl/sharedStrings.xml><?xml version="1.0" encoding="utf-8"?>
<sst xmlns="http://schemas.openxmlformats.org/spreadsheetml/2006/main" count="2364" uniqueCount="1173">
  <si>
    <t>+</t>
  </si>
  <si>
    <t>-</t>
  </si>
  <si>
    <t>*</t>
  </si>
  <si>
    <t>/</t>
  </si>
  <si>
    <t>\</t>
  </si>
  <si>
    <t>^</t>
  </si>
  <si>
    <t>@</t>
  </si>
  <si>
    <t>Addition</t>
  </si>
  <si>
    <t>Symbol</t>
  </si>
  <si>
    <t>Description</t>
  </si>
  <si>
    <t>=</t>
  </si>
  <si>
    <t>Subtraction</t>
  </si>
  <si>
    <t>Multiplication</t>
  </si>
  <si>
    <t>Exponentiation</t>
  </si>
  <si>
    <t>String comparison flag</t>
  </si>
  <si>
    <t>Equivalence and Assignment Operator</t>
  </si>
  <si>
    <t>&gt;</t>
  </si>
  <si>
    <t>&lt;</t>
  </si>
  <si>
    <t>Greater Than</t>
  </si>
  <si>
    <t>Less Than</t>
  </si>
  <si>
    <t>(</t>
  </si>
  <si>
    <t>)</t>
  </si>
  <si>
    <t>Function Open</t>
  </si>
  <si>
    <t>Function End</t>
  </si>
  <si>
    <t>&amp;</t>
  </si>
  <si>
    <t>%</t>
  </si>
  <si>
    <t>~</t>
  </si>
  <si>
    <t>Logical AND Operator</t>
  </si>
  <si>
    <t>Logical OR Operator</t>
  </si>
  <si>
    <t>Logical NOT Operator</t>
  </si>
  <si>
    <t>Function</t>
  </si>
  <si>
    <t xml:space="preserve">ISLEAF </t>
  </si>
  <si>
    <t xml:space="preserve">DB </t>
  </si>
  <si>
    <t xml:space="preserve">UNDEF </t>
  </si>
  <si>
    <t xml:space="preserve">UNDEFVALS </t>
  </si>
  <si>
    <t xml:space="preserve">DATE </t>
  </si>
  <si>
    <t xml:space="preserve">DATES </t>
  </si>
  <si>
    <t>DAY</t>
  </si>
  <si>
    <t>DAYNO</t>
  </si>
  <si>
    <t>MONTH</t>
  </si>
  <si>
    <t>NOW</t>
  </si>
  <si>
    <t>TIME</t>
  </si>
  <si>
    <t>TIMST</t>
  </si>
  <si>
    <t>TIMVL</t>
  </si>
  <si>
    <t>TODAY</t>
  </si>
  <si>
    <t>YEAR</t>
  </si>
  <si>
    <t>ATTRN</t>
  </si>
  <si>
    <t>ATTRS</t>
  </si>
  <si>
    <t>ConsolidateChildren</t>
  </si>
  <si>
    <t>DIMNM</t>
  </si>
  <si>
    <t>DIMSIZ</t>
  </si>
  <si>
    <t>DNLEV</t>
  </si>
  <si>
    <t>TABDIM</t>
  </si>
  <si>
    <t>DIMIX</t>
  </si>
  <si>
    <t>DTYPE</t>
  </si>
  <si>
    <t>ELCOMP</t>
  </si>
  <si>
    <t>ELCOMPN</t>
  </si>
  <si>
    <t>ELISANC</t>
  </si>
  <si>
    <t>ELISCOMP</t>
  </si>
  <si>
    <t>ELISPAR</t>
  </si>
  <si>
    <t>ELLEV</t>
  </si>
  <si>
    <t>ELPAR</t>
  </si>
  <si>
    <t>ELPARN</t>
  </si>
  <si>
    <t>ELWEIGHT</t>
  </si>
  <si>
    <t>FV</t>
  </si>
  <si>
    <t>PAYMT</t>
  </si>
  <si>
    <t>PV</t>
  </si>
  <si>
    <t>CONTINUE</t>
  </si>
  <si>
    <t>IF</t>
  </si>
  <si>
    <t>STET</t>
  </si>
  <si>
    <t>ABS</t>
  </si>
  <si>
    <t>ACOS</t>
  </si>
  <si>
    <t>ASIN</t>
  </si>
  <si>
    <t>ATAN</t>
  </si>
  <si>
    <t>COS</t>
  </si>
  <si>
    <t>EXP</t>
  </si>
  <si>
    <t>INT</t>
  </si>
  <si>
    <t>ISUND</t>
  </si>
  <si>
    <t>LN</t>
  </si>
  <si>
    <t>LOG</t>
  </si>
  <si>
    <t>MAX</t>
  </si>
  <si>
    <t>MIN</t>
  </si>
  <si>
    <t>MOD</t>
  </si>
  <si>
    <t>RAND</t>
  </si>
  <si>
    <t>ROUND</t>
  </si>
  <si>
    <t>ROUNDP</t>
  </si>
  <si>
    <t>SIGN</t>
  </si>
  <si>
    <t>SIN</t>
  </si>
  <si>
    <t>SQRT</t>
  </si>
  <si>
    <t>TAN</t>
  </si>
  <si>
    <t>CAPIT</t>
  </si>
  <si>
    <t>CHAR</t>
  </si>
  <si>
    <t>CODE</t>
  </si>
  <si>
    <t>DELET</t>
  </si>
  <si>
    <t>FILL</t>
  </si>
  <si>
    <t>INSRT</t>
  </si>
  <si>
    <t>LONG</t>
  </si>
  <si>
    <t>LOWER</t>
  </si>
  <si>
    <t>NUMBR</t>
  </si>
  <si>
    <t>;</t>
  </si>
  <si>
    <t>Statement Terminator</t>
  </si>
  <si>
    <t>SCAN</t>
  </si>
  <si>
    <t>STR</t>
  </si>
  <si>
    <t>SUBST</t>
  </si>
  <si>
    <t>TRIM</t>
  </si>
  <si>
    <t>UPPER</t>
  </si>
  <si>
    <t>FEEDERS</t>
  </si>
  <si>
    <t>FEEDSTRINGS</t>
  </si>
  <si>
    <t>SKIPCHECK</t>
  </si>
  <si>
    <t>ASCIIDelete</t>
  </si>
  <si>
    <t>ASCIIOutput</t>
  </si>
  <si>
    <t xml:space="preserve">SetInputCharacterSet </t>
  </si>
  <si>
    <t>SetOutputCharacterSet</t>
  </si>
  <si>
    <t>TextOutput</t>
  </si>
  <si>
    <t>AttrDelete</t>
  </si>
  <si>
    <t>AttrInsert</t>
  </si>
  <si>
    <t>AttrPutN</t>
  </si>
  <si>
    <t>AttrPutS</t>
  </si>
  <si>
    <t>ChoreQuit</t>
  </si>
  <si>
    <t>SetChoreVerboseMessages</t>
  </si>
  <si>
    <t>2morrow</t>
  </si>
  <si>
    <t>https://github.com/ChrisKempson/Tomorrow-Theme</t>
  </si>
  <si>
    <t>background</t>
  </si>
  <si>
    <t>foreground</t>
  </si>
  <si>
    <t>FFFFFF</t>
  </si>
  <si>
    <t>Red</t>
  </si>
  <si>
    <t xml:space="preserve">Green </t>
  </si>
  <si>
    <t>Blue</t>
  </si>
  <si>
    <t>caret</t>
  </si>
  <si>
    <t>4D4D4C</t>
  </si>
  <si>
    <t>invisibles</t>
  </si>
  <si>
    <t>9BA3C5</t>
  </si>
  <si>
    <t>lineHighlight</t>
  </si>
  <si>
    <t>E9EFFF</t>
  </si>
  <si>
    <t>selection</t>
  </si>
  <si>
    <t>C5CCE9</t>
  </si>
  <si>
    <t>718C00</t>
  </si>
  <si>
    <t>String Link</t>
  </si>
  <si>
    <t>C82829</t>
  </si>
  <si>
    <t>Number</t>
  </si>
  <si>
    <t>F5871F</t>
  </si>
  <si>
    <t>Regular Expression</t>
  </si>
  <si>
    <t>String</t>
  </si>
  <si>
    <t>Comment</t>
  </si>
  <si>
    <t>Constant</t>
  </si>
  <si>
    <t>Variable</t>
  </si>
  <si>
    <t>Keyword</t>
  </si>
  <si>
    <t>8959A8</t>
  </si>
  <si>
    <t>Operator</t>
  </si>
  <si>
    <t>Special Method</t>
  </si>
  <si>
    <t>4271AE</t>
  </si>
  <si>
    <t>Storage</t>
  </si>
  <si>
    <t>Class</t>
  </si>
  <si>
    <t>EAB700</t>
  </si>
  <si>
    <t>Class Inherited</t>
  </si>
  <si>
    <t>Support</t>
  </si>
  <si>
    <t>Tag name</t>
  </si>
  <si>
    <t>Tag attribute</t>
  </si>
  <si>
    <t>Embedded</t>
  </si>
  <si>
    <t>Block Level</t>
  </si>
  <si>
    <t>Markup Heading</t>
  </si>
  <si>
    <t>Separator</t>
  </si>
  <si>
    <t>ENDIF</t>
  </si>
  <si>
    <t>WHILE</t>
  </si>
  <si>
    <t>END</t>
  </si>
  <si>
    <t>,</t>
  </si>
  <si>
    <t>Argument Separator</t>
  </si>
  <si>
    <t>]</t>
  </si>
  <si>
    <t>[</t>
  </si>
  <si>
    <t>Tuple Open</t>
  </si>
  <si>
    <t>Tuple Close</t>
  </si>
  <si>
    <t>:</t>
  </si>
  <si>
    <t>Qualifier</t>
  </si>
  <si>
    <t>!</t>
  </si>
  <si>
    <t>Current</t>
  </si>
  <si>
    <t>NumericSessionVariable</t>
  </si>
  <si>
    <t>StringSessionVariable</t>
  </si>
  <si>
    <t xml:space="preserve">PrologMinorErrorCount </t>
  </si>
  <si>
    <t xml:space="preserve">ProcessReturnCode </t>
  </si>
  <si>
    <t xml:space="preserve">MetadataMinorErrorCount </t>
  </si>
  <si>
    <t>NumericGlobalVariable</t>
  </si>
  <si>
    <t>StringGlobalVariable</t>
  </si>
  <si>
    <t>DatasourceNameForServer</t>
  </si>
  <si>
    <t xml:space="preserve">DatasourceNameForClient </t>
  </si>
  <si>
    <t xml:space="preserve">DatasourceType </t>
  </si>
  <si>
    <t xml:space="preserve">DatasourceUsername </t>
  </si>
  <si>
    <t xml:space="preserve">DatasourcePassword </t>
  </si>
  <si>
    <t xml:space="preserve">DatasourceQuery </t>
  </si>
  <si>
    <t xml:space="preserve">DatasourceCubeview </t>
  </si>
  <si>
    <t xml:space="preserve">DatasourceDimensionSubset </t>
  </si>
  <si>
    <t xml:space="preserve">DatasourceASCIIDelimiter </t>
  </si>
  <si>
    <t xml:space="preserve">DatasourceASCIIDecimalSeparator </t>
  </si>
  <si>
    <t xml:space="preserve">DatasourceASCIIThousandSeparator </t>
  </si>
  <si>
    <t xml:space="preserve">DatasourceASCIIQuoteCharacter </t>
  </si>
  <si>
    <t xml:space="preserve">DatasourceASCIIHeaderRecords </t>
  </si>
  <si>
    <t xml:space="preserve">Value_Is_String </t>
  </si>
  <si>
    <t xml:space="preserve">NValue </t>
  </si>
  <si>
    <t xml:space="preserve">SValue </t>
  </si>
  <si>
    <t xml:space="preserve">OnMinorErrorDoItemSkip </t>
  </si>
  <si>
    <t xml:space="preserve">MinorErrorLogMax </t>
  </si>
  <si>
    <t xml:space="preserve">DataSourceODBOCatalog </t>
  </si>
  <si>
    <t xml:space="preserve">DataSourceODBOConnectionString </t>
  </si>
  <si>
    <t xml:space="preserve">DataSourceODBOCubeName </t>
  </si>
  <si>
    <t xml:space="preserve">DataSourceODBOHierarchyName </t>
  </si>
  <si>
    <t xml:space="preserve">DataSourceODBOLocation </t>
  </si>
  <si>
    <t xml:space="preserve">DataSourceODBOProvider </t>
  </si>
  <si>
    <t xml:space="preserve">DataSourceODBOSAPClientID </t>
  </si>
  <si>
    <t xml:space="preserve">DataSourceODBOSAPClientLanguage </t>
  </si>
  <si>
    <t xml:space="preserve">DimensionCreate </t>
  </si>
  <si>
    <t xml:space="preserve">DimensionDeleteAllElements </t>
  </si>
  <si>
    <t xml:space="preserve">DimensionDestroy </t>
  </si>
  <si>
    <t xml:space="preserve">DimensionElementComponentAdd </t>
  </si>
  <si>
    <t xml:space="preserve">DimensionElementComponentDelete </t>
  </si>
  <si>
    <t xml:space="preserve">DimensionElementDelete </t>
  </si>
  <si>
    <t xml:space="preserve">DimensionElementInsert </t>
  </si>
  <si>
    <t xml:space="preserve">DimensionElementPrincipalName </t>
  </si>
  <si>
    <t xml:space="preserve">DimensionExists </t>
  </si>
  <si>
    <t xml:space="preserve">DimensionSortOrder </t>
  </si>
  <si>
    <t>AddCubeDependency</t>
  </si>
  <si>
    <t>CellGetN</t>
  </si>
  <si>
    <t>CellGetS</t>
  </si>
  <si>
    <t>CellIsUpdateable</t>
  </si>
  <si>
    <t>CellPutN</t>
  </si>
  <si>
    <t>CellPutProportionalSpread</t>
  </si>
  <si>
    <t>CellPutS</t>
  </si>
  <si>
    <t>CubeClearData</t>
  </si>
  <si>
    <t>CubeCreate</t>
  </si>
  <si>
    <t>CubeDestroy</t>
  </si>
  <si>
    <t>CubeExists</t>
  </si>
  <si>
    <t>CubeGetLogChanges</t>
  </si>
  <si>
    <t>CubeSetConnParams</t>
  </si>
  <si>
    <t>CubeSetLogChanges</t>
  </si>
  <si>
    <t>CubeUnload</t>
  </si>
  <si>
    <t>CubeDataReservationAcquire</t>
  </si>
  <si>
    <t>CubeDataReservationRelease</t>
  </si>
  <si>
    <t>CubeDataReservationReleaseAll</t>
  </si>
  <si>
    <t>CubeDataReservationGet</t>
  </si>
  <si>
    <t>CubeDataReservationGetConflicts</t>
  </si>
  <si>
    <t>ODBCClose</t>
  </si>
  <si>
    <t>ODBCOpen</t>
  </si>
  <si>
    <t>ODBCOpenEx</t>
  </si>
  <si>
    <t>ODBCOutput</t>
  </si>
  <si>
    <t>SetODBCUnicodeInterface</t>
  </si>
  <si>
    <t>ExecuteCommand</t>
  </si>
  <si>
    <t>ExecuteProcess</t>
  </si>
  <si>
    <t>GetProcessErrorFileDirectory</t>
  </si>
  <si>
    <t>GetProcessErrorFilename</t>
  </si>
  <si>
    <t>GetProcessName</t>
  </si>
  <si>
    <t>ElseIf</t>
  </si>
  <si>
    <t>ItemReject</t>
  </si>
  <si>
    <t>ItemSkip</t>
  </si>
  <si>
    <t>ProcessBreak</t>
  </si>
  <si>
    <t>ProcessError</t>
  </si>
  <si>
    <t>ProcessQuit</t>
  </si>
  <si>
    <t>CubeProcessFeeders</t>
  </si>
  <si>
    <t>DeleteAllPersistentFeeders</t>
  </si>
  <si>
    <t>ForceSkipCheck</t>
  </si>
  <si>
    <t>RuleLoadFromFile</t>
  </si>
  <si>
    <t>ServerActiveSandboxGet</t>
  </si>
  <si>
    <t>ServerActiveSandboxSet</t>
  </si>
  <si>
    <t>GetUseActiveSandboxProperty</t>
  </si>
  <si>
    <t>SetUseActiveSandboxProperty</t>
  </si>
  <si>
    <t>AddClient</t>
  </si>
  <si>
    <t>AddGroup</t>
  </si>
  <si>
    <t>AssignClientToGroup</t>
  </si>
  <si>
    <t xml:space="preserve">AssignClientPassword </t>
  </si>
  <si>
    <t>DeleteClient</t>
  </si>
  <si>
    <t>DeleteGroup</t>
  </si>
  <si>
    <t>ElementSecurityGet</t>
  </si>
  <si>
    <t>ElementSecurityPut</t>
  </si>
  <si>
    <t>RemoveClientFromGroup</t>
  </si>
  <si>
    <t>SecurityRefresh</t>
  </si>
  <si>
    <t>BatchUpdateFinish</t>
  </si>
  <si>
    <t>BatchUpdateFinishWait</t>
  </si>
  <si>
    <t>BatchUpdateStart</t>
  </si>
  <si>
    <t>DisableBulkLoadMode</t>
  </si>
  <si>
    <t>EnableBulkLoadMode</t>
  </si>
  <si>
    <t>SaveDataAll</t>
  </si>
  <si>
    <t>ServerShutDown</t>
  </si>
  <si>
    <t>SubsetAliasSet</t>
  </si>
  <si>
    <t>SubsetCreate</t>
  </si>
  <si>
    <t>SubsetCreatebyMDX</t>
  </si>
  <si>
    <t>SubsetDeleteAllElements</t>
  </si>
  <si>
    <t>SubsetDestroy</t>
  </si>
  <si>
    <t>SubsetElementDelete</t>
  </si>
  <si>
    <t>SubsetElementInsert</t>
  </si>
  <si>
    <t>SubsetExists</t>
  </si>
  <si>
    <t>SubsetExpandAboveSet</t>
  </si>
  <si>
    <t>SubsetFormatStyleSet</t>
  </si>
  <si>
    <t>SubsetGetElementName</t>
  </si>
  <si>
    <t>SubsetGetSize</t>
  </si>
  <si>
    <t>SubsetIsAllSet</t>
  </si>
  <si>
    <t>PublishView</t>
  </si>
  <si>
    <t>ViewColumnDimensionSet</t>
  </si>
  <si>
    <t>ViewColumnSuppressZeroesSet</t>
  </si>
  <si>
    <t>ViewConstruct</t>
  </si>
  <si>
    <t>ViewCreate</t>
  </si>
  <si>
    <t>ViewDestroy</t>
  </si>
  <si>
    <t>ViewExists</t>
  </si>
  <si>
    <t xml:space="preserve">ViewExtractSkipCalcsSet </t>
  </si>
  <si>
    <t xml:space="preserve">ViewExtractSkipRuleValuesSet </t>
  </si>
  <si>
    <t xml:space="preserve">ViewExtractSkipZeroesSet </t>
  </si>
  <si>
    <t>ViewRowDimensionSet</t>
  </si>
  <si>
    <t>ViewRowSuppressZeroesSet</t>
  </si>
  <si>
    <t>ViewSubsetAssign</t>
  </si>
  <si>
    <t>ViewSuppressZeroesSet</t>
  </si>
  <si>
    <t>ViewTitleDimensionSet</t>
  </si>
  <si>
    <t>ViewTitleElementSet</t>
  </si>
  <si>
    <t>ViewZeroOut</t>
  </si>
  <si>
    <t>AddInfoCubeRestriction</t>
  </si>
  <si>
    <t>DataSourceSAPUsingRoleAuths</t>
  </si>
  <si>
    <t>DataSourceSAPUsingTexts</t>
  </si>
  <si>
    <t>Expand</t>
  </si>
  <si>
    <t>FileExists</t>
  </si>
  <si>
    <t>NumberToString</t>
  </si>
  <si>
    <t>NumberToStringEx</t>
  </si>
  <si>
    <t>RefreshMdxHierarchy</t>
  </si>
  <si>
    <t>StringToNumber</t>
  </si>
  <si>
    <t>StringToNumberEx</t>
  </si>
  <si>
    <t>TM1User</t>
  </si>
  <si>
    <t>WildcardFileSearch</t>
  </si>
  <si>
    <t>Safe Function</t>
  </si>
  <si>
    <t>Alter Function</t>
  </si>
  <si>
    <t>Type</t>
  </si>
  <si>
    <t>Keyword Types</t>
  </si>
  <si>
    <t>read-only, non-modifying (has parameters)</t>
  </si>
  <si>
    <t>update functions that alter/change components</t>
  </si>
  <si>
    <t>ConsolidatedMax</t>
  </si>
  <si>
    <t>ConsolidatedMin</t>
  </si>
  <si>
    <t>ConsolidatedAvg</t>
  </si>
  <si>
    <t>ConsolidatedCount</t>
  </si>
  <si>
    <t>Open:</t>
  </si>
  <si>
    <t>Close:</t>
  </si>
  <si>
    <t>Both</t>
  </si>
  <si>
    <t>Rules Only</t>
  </si>
  <si>
    <t>TI Only</t>
  </si>
  <si>
    <t>Usage</t>
  </si>
  <si>
    <t>Keyword Usage</t>
  </si>
  <si>
    <t>ELSEIF</t>
  </si>
  <si>
    <t>keyword is only valid in rules</t>
  </si>
  <si>
    <t>keyword is only valid in ti</t>
  </si>
  <si>
    <t>keyword is valid in rules and/or TI</t>
  </si>
  <si>
    <t>Rules Safe</t>
  </si>
  <si>
    <t>TI Safe</t>
  </si>
  <si>
    <t>TI Alter</t>
  </si>
  <si>
    <t>Division by zero returns undefined</t>
  </si>
  <si>
    <t>Division by zero returns zero</t>
  </si>
  <si>
    <t>|</t>
  </si>
  <si>
    <t>String Concatenation</t>
  </si>
  <si>
    <t>Plus</t>
  </si>
  <si>
    <t>Minus</t>
  </si>
  <si>
    <t>Star</t>
  </si>
  <si>
    <t>Forward Slash</t>
  </si>
  <si>
    <t>Back Slash</t>
  </si>
  <si>
    <t>Caret</t>
  </si>
  <si>
    <t>At Sign</t>
  </si>
  <si>
    <t>Equals</t>
  </si>
  <si>
    <t>Open Parentheses</t>
  </si>
  <si>
    <t>Close Parentheses</t>
  </si>
  <si>
    <t>Ampersand</t>
  </si>
  <si>
    <t>Modulo</t>
  </si>
  <si>
    <t>Tilde</t>
  </si>
  <si>
    <t>Comma</t>
  </si>
  <si>
    <t>Open Square Bracket</t>
  </si>
  <si>
    <t>Close Square Bracket</t>
  </si>
  <si>
    <t>Colon</t>
  </si>
  <si>
    <t>Exclamation Mark</t>
  </si>
  <si>
    <t>Bang</t>
  </si>
  <si>
    <t>Splat</t>
  </si>
  <si>
    <t>Name</t>
  </si>
  <si>
    <t>AKA</t>
  </si>
  <si>
    <t>Whack</t>
  </si>
  <si>
    <t>Semi-Colon</t>
  </si>
  <si>
    <t>Pipe</t>
  </si>
  <si>
    <t>Default:</t>
  </si>
  <si>
    <t>Numbers:</t>
  </si>
  <si>
    <t>Kevin's TM1 Theme</t>
  </si>
  <si>
    <t>Comment:</t>
  </si>
  <si>
    <t>Safe Functions:</t>
  </si>
  <si>
    <t>Alter Functions:</t>
  </si>
  <si>
    <t>based on  2morrow theme</t>
  </si>
  <si>
    <t>excellent because works well in white or dark backgrounds</t>
  </si>
  <si>
    <t>italic</t>
  </si>
  <si>
    <t>Operators:</t>
  </si>
  <si>
    <t>Strings:</t>
  </si>
  <si>
    <t>Fold Functions:</t>
  </si>
  <si>
    <t>AdminHost</t>
  </si>
  <si>
    <t>AllowMultiModes</t>
  </si>
  <si>
    <t xml:space="preserve">AllowReadOnlyChoreReschedule </t>
  </si>
  <si>
    <t>AllowSeparateNandCRules</t>
  </si>
  <si>
    <t>AllRuleCalcStargateOptimization</t>
  </si>
  <si>
    <t>AuditLogMaxFileSize</t>
  </si>
  <si>
    <t>AuditLogMaxQueryMemory</t>
  </si>
  <si>
    <t>AuditLogMaxTempFileSize</t>
  </si>
  <si>
    <t>AuditLogOn</t>
  </si>
  <si>
    <t>AuditLogUpdateInterval</t>
  </si>
  <si>
    <t>CalculationThresholdForStorage</t>
  </si>
  <si>
    <t>CAMSSLCertificate</t>
  </si>
  <si>
    <t>CheckFeedersMaximumCells</t>
  </si>
  <si>
    <t>ClientCAMURI</t>
  </si>
  <si>
    <t>ClientPingCAMPassport</t>
  </si>
  <si>
    <t>CAMPortalVariableFile</t>
  </si>
  <si>
    <t>ClientMessagePortNumber</t>
  </si>
  <si>
    <t>ClientPropertiesSyncInterval</t>
  </si>
  <si>
    <t>ClientVersionMaximum</t>
  </si>
  <si>
    <t>ClientVersionMinimum</t>
  </si>
  <si>
    <t>ClientVersionPrecision</t>
  </si>
  <si>
    <t>CognosInterfacePath</t>
  </si>
  <si>
    <t>DataBaseDirectory</t>
  </si>
  <si>
    <t>DefaultMeasuresDimension</t>
  </si>
  <si>
    <t>DisableMemoryCache</t>
  </si>
  <si>
    <t>Recommended</t>
  </si>
  <si>
    <t>DisableSandboxing</t>
  </si>
  <si>
    <t>DisableWorksheetView</t>
  </si>
  <si>
    <t>Display_Info_DBType_R8</t>
  </si>
  <si>
    <t>DownTime</t>
  </si>
  <si>
    <t>ExcelWebPublishEnabled</t>
  </si>
  <si>
    <t>GroupsCreationLimit</t>
  </si>
  <si>
    <t>IdleConnectionTimeOutSeconds</t>
  </si>
  <si>
    <t>IntegratedSecurityMode</t>
  </si>
  <si>
    <t>IPAddress</t>
  </si>
  <si>
    <t>Language</t>
  </si>
  <si>
    <t>LDAPUseServerAccount</t>
  </si>
  <si>
    <t>LDAPPasswordFile</t>
  </si>
  <si>
    <t>LDAPPasswordKeyFile</t>
  </si>
  <si>
    <t>LockPagesInMemory</t>
  </si>
  <si>
    <t>LoggingDirectory</t>
  </si>
  <si>
    <t>LogReleaseLineCount</t>
  </si>
  <si>
    <t>MaximumCubeLoadThreads</t>
  </si>
  <si>
    <t>MaximumLoginAttempts</t>
  </si>
  <si>
    <t xml:space="preserve">MaximumMemoryForSubsetUndo </t>
  </si>
  <si>
    <t>MaximumSynchAttempts</t>
  </si>
  <si>
    <t>MaximumUserSandboxSize</t>
  </si>
  <si>
    <t>MaximumViewSize</t>
  </si>
  <si>
    <t>MaxUndoHoldLineCount</t>
  </si>
  <si>
    <t>MessageCompression</t>
  </si>
  <si>
    <t>PasswordMinimumLength</t>
  </si>
  <si>
    <t>PasswordSource</t>
  </si>
  <si>
    <t>PerformanceMonitorOn</t>
  </si>
  <si>
    <t>PersistentFeeders</t>
  </si>
  <si>
    <t>PortNumber</t>
  </si>
  <si>
    <t>PrivilegeGenerationOptimization</t>
  </si>
  <si>
    <t>ProgressMessage</t>
  </si>
  <si>
    <t>RawStoreDirectory</t>
  </si>
  <si>
    <t>ReceiveProgressResponseTimeoutSecs</t>
  </si>
  <si>
    <t>RunningInBackground</t>
  </si>
  <si>
    <t>SAPLoggingEnabled</t>
  </si>
  <si>
    <t>SAPLogFilePath</t>
  </si>
  <si>
    <t>SaveTime</t>
  </si>
  <si>
    <t>SecurityPackageName</t>
  </si>
  <si>
    <t>ServerCAMURI</t>
  </si>
  <si>
    <t>ServerLogging</t>
  </si>
  <si>
    <t>ServerName</t>
  </si>
  <si>
    <t>SkipLoadingAliases</t>
  </si>
  <si>
    <t>SkipSSLCAMHostCheck</t>
  </si>
  <si>
    <t>SpreadingPrecision</t>
  </si>
  <si>
    <t>SubsetElementBreatherCount</t>
  </si>
  <si>
    <t>SyncUnitSize</t>
  </si>
  <si>
    <t>UserDefinedCalculations</t>
  </si>
  <si>
    <t xml:space="preserve">UseSQLFetch </t>
  </si>
  <si>
    <t xml:space="preserve">UseSQLFetchScroll </t>
  </si>
  <si>
    <t>UseSQLExtenedFetch</t>
  </si>
  <si>
    <t>UseSSL</t>
  </si>
  <si>
    <t>UseStargateForRules</t>
  </si>
  <si>
    <t>ViewConsolidationOptimization</t>
  </si>
  <si>
    <t>ViewConsolidationOptimizationMethod</t>
  </si>
  <si>
    <t>Yes</t>
  </si>
  <si>
    <t>TREE</t>
  </si>
  <si>
    <t>Rec. Value</t>
  </si>
  <si>
    <t>T</t>
  </si>
  <si>
    <t>Notes</t>
  </si>
  <si>
    <t>Leave this blank</t>
  </si>
  <si>
    <t xml:space="preserve"># cores on server - 1 </t>
  </si>
  <si>
    <t>Migrate</t>
  </si>
  <si>
    <t>TM1S.CFG Migrate</t>
  </si>
  <si>
    <t>TM1S.CFG Other</t>
  </si>
  <si>
    <t>Parameter</t>
  </si>
  <si>
    <t>Keywords</t>
  </si>
  <si>
    <t>Else</t>
  </si>
  <si>
    <t>ParallelInteraction </t>
  </si>
  <si>
    <t>JobQueuing</t>
  </si>
  <si>
    <t>JobQueueMaxWaitTime</t>
  </si>
  <si>
    <t>JobQueueThreadSleepTime</t>
  </si>
  <si>
    <t xml:space="preserve">IBM Operations Guide: </t>
  </si>
  <si>
    <t>http://publib.boulder.ibm.com/infocenter/ctm1/v9r5m0/index.jsp?topic=/com.ibm.swg.im.cognos.tm1_op.9.5.2.doc/tm1_op_id3776TM1_admn_cfg_cv_CubeVer_Enable_N5372.html</t>
  </si>
  <si>
    <t>IBM Reference Guide:</t>
  </si>
  <si>
    <t>Notepad++:</t>
  </si>
  <si>
    <t>http://notepad-plus-plus.org/</t>
  </si>
  <si>
    <t>* note that the .zip version is standalone does not require admin privileges to use</t>
  </si>
  <si>
    <t xml:space="preserve">IBM Parallel Interaction Guide: </t>
  </si>
  <si>
    <t>https://www-304.ibm.com/support/docview.wss?mynp=OCSS9RXT&amp;mync=R&amp;uid=swg21460595&amp;myns=swgimgmt</t>
  </si>
  <si>
    <t>IBM Job Queuing Guide:</t>
  </si>
  <si>
    <t>https://www-304.ibm.com/support/docview.wss?uid=swg21460097</t>
  </si>
  <si>
    <t>* note: functions have arguments</t>
  </si>
  <si>
    <t>do not have parameters or return value</t>
  </si>
  <si>
    <t>variables have a value (get or set) but no parameters</t>
  </si>
  <si>
    <t>Arguments</t>
  </si>
  <si>
    <t>Group</t>
  </si>
  <si>
    <t>Rules-Math</t>
  </si>
  <si>
    <t>Rules-Cube</t>
  </si>
  <si>
    <t>Rules-DateTime</t>
  </si>
  <si>
    <t>Rules-DimInfo</t>
  </si>
  <si>
    <t>Rules-Financial</t>
  </si>
  <si>
    <t>Rules-ElementInfo</t>
  </si>
  <si>
    <t>Rules-Logical</t>
  </si>
  <si>
    <t>Rules-Text</t>
  </si>
  <si>
    <t>Rules-Misc</t>
  </si>
  <si>
    <t>TI-Text</t>
  </si>
  <si>
    <t>TI-Attr</t>
  </si>
  <si>
    <t>TI-Chore</t>
  </si>
  <si>
    <t>TI-Cube</t>
  </si>
  <si>
    <t>Groups (Location in Reference Guide)</t>
  </si>
  <si>
    <t>Keyword Groups</t>
  </si>
  <si>
    <t>SerialNumber int, &lt;ReturnFourDigitYear&gt; bit</t>
  </si>
  <si>
    <t>DNEXT</t>
  </si>
  <si>
    <t>DBR</t>
  </si>
  <si>
    <t>DBRA</t>
  </si>
  <si>
    <t>DBRW</t>
  </si>
  <si>
    <t>DBS</t>
  </si>
  <si>
    <t>DBSA</t>
  </si>
  <si>
    <t>DBSS</t>
  </si>
  <si>
    <t>DBSW</t>
  </si>
  <si>
    <t>DFRST</t>
  </si>
  <si>
    <t>ELSLEN</t>
  </si>
  <si>
    <t>SUBNM</t>
  </si>
  <si>
    <t>SUBSIZ</t>
  </si>
  <si>
    <t>TM1RptElIsConsolidated</t>
  </si>
  <si>
    <t>TM1RptElIsExpanded</t>
  </si>
  <si>
    <t>TM1RptElLev</t>
  </si>
  <si>
    <t>TM1RptFilter</t>
  </si>
  <si>
    <t>TM1RptRow</t>
  </si>
  <si>
    <t>TM1RptTitle</t>
  </si>
  <si>
    <t>TM1RptView</t>
  </si>
  <si>
    <t>VIEW</t>
  </si>
  <si>
    <t>TI-Calc</t>
  </si>
  <si>
    <t>CubeSaveData</t>
  </si>
  <si>
    <t>TI-Dim</t>
  </si>
  <si>
    <t>TI-ODBC</t>
  </si>
  <si>
    <t>TI-Process</t>
  </si>
  <si>
    <t>TI-Rules</t>
  </si>
  <si>
    <t>TI-Sandbox</t>
  </si>
  <si>
    <t>TI-Security</t>
  </si>
  <si>
    <t>TI-Server</t>
  </si>
  <si>
    <t>TI-Subset</t>
  </si>
  <si>
    <t>TI-View</t>
  </si>
  <si>
    <t>TI-Misc</t>
  </si>
  <si>
    <t>Synchronized</t>
  </si>
  <si>
    <t>ServerSandboxesDelete</t>
  </si>
  <si>
    <t>DataMinorErrorCount</t>
  </si>
  <si>
    <t>TI-Vars-Local</t>
  </si>
  <si>
    <t>TI-Vars-Global</t>
  </si>
  <si>
    <t>TI-Vars-ImpGlobal</t>
  </si>
  <si>
    <t>TI-Vars-User</t>
  </si>
  <si>
    <t>GrpOrder</t>
  </si>
  <si>
    <t>None</t>
  </si>
  <si>
    <t>DB returns a value from a cube in a TM1 database. DB returns a numeric value if used in a numeric expression and a string value if used in a string expression.</t>
  </si>
  <si>
    <t xml:space="preserve">ISLEAF returns 1 if a specified cell is a leaf cell (identified solely by leaf/simple elements). If the specified cell is identified by any consolidated elements, the function returns 0. </t>
  </si>
  <si>
    <t>UNDEF returns the undefined value. This function can be used to prevent datafrom being stored in a cube based on a logical test.</t>
  </si>
  <si>
    <t xml:space="preserve">Putting UNDEFVALS in the rules for a cube changes the default value for the cube from zero to an special undefined value. This has ramifications for how data is stored in the cube and retrieved. </t>
  </si>
  <si>
    <t xml:space="preserve">DATE returns the date string in 'yy-mm-dd' or 'yyyy-mm-dd' format for a given serial number. </t>
  </si>
  <si>
    <t>DATES returns a date string, in the form 'yy-mm-dd' or 'yyyy-mm-dd', corresponding to a given year, month, and day.</t>
  </si>
  <si>
    <t>Year int, Month int,  Day int</t>
  </si>
  <si>
    <t>DAY returns a numeric value for the day in a given date string. A date string in either YY-MM-DD or YYYY-MM-DD format.</t>
  </si>
  <si>
    <t>DAYNO returns the serial date number corresponding to a given date string.</t>
  </si>
  <si>
    <t>DateString str</t>
  </si>
  <si>
    <t>MONTH returns a numeric value for the month in a given date string. A date string in either YY-MM-DD or YYYY-MM-DD format.</t>
  </si>
  <si>
    <t>NOW returns the current date/time value in serial number format.</t>
  </si>
  <si>
    <t>TIME returns a string, in HH:MM format, representing the system time on the TM1 server.</t>
  </si>
  <si>
    <t>TIMST returns a formatted date/time string.</t>
  </si>
  <si>
    <t>DateTime int, Format str, ExtendedYears bit</t>
  </si>
  <si>
    <t>TIMVL returns the numeric value of a component (year, month, etc.) of a date/time value.</t>
  </si>
  <si>
    <t>DateTime int, Type str, ExtendedYears bit</t>
  </si>
  <si>
    <t>TODAY returns the current date in yy-mm-dd format.</t>
  </si>
  <si>
    <t>ReturnFourDigitYear bit</t>
  </si>
  <si>
    <t>YEAR returns a numeric value for the year in a given date string.</t>
  </si>
  <si>
    <t>ReturnType</t>
  </si>
  <si>
    <t>Variant</t>
  </si>
  <si>
    <t>Bit</t>
  </si>
  <si>
    <t>Undef</t>
  </si>
  <si>
    <t>Int</t>
  </si>
  <si>
    <t>Date</t>
  </si>
  <si>
    <t>Dimension str, Element str, Attribute str</t>
  </si>
  <si>
    <t>ATTRN returns a numeric attribute for a specified element of a dimension.</t>
  </si>
  <si>
    <t>ATTRS returns a string attribute for a specified element of a dimension.</t>
  </si>
  <si>
    <t>This function forces consolidated values to be calculated by summing immediate children along a specified dimension. This is useful when intermediate consolidations are calculated by rules and you want a parent consolidation to be calculated by summing the intermediate consolidations rather than by summing the underlying leaf values.</t>
  </si>
  <si>
    <t>DIMNM returns the element of a dimension that corresponds to the index argument.</t>
  </si>
  <si>
    <t>Dimension str, Index int</t>
  </si>
  <si>
    <t>Dimension1 str, Dimension2 str, …</t>
  </si>
  <si>
    <t>DIMSIZ returns the number of elements within a specified dimension.</t>
  </si>
  <si>
    <t>Dimension str</t>
  </si>
  <si>
    <t>DNEXT returns the element name that follows the element specified as an argument to the function.</t>
  </si>
  <si>
    <t>Dimension str, Element str</t>
  </si>
  <si>
    <t>DNLEV returns the number levels in a dimension.</t>
  </si>
  <si>
    <t>TABDIM returns the dimension name that corresponds to the index argument.</t>
  </si>
  <si>
    <t>Cube str, Index int</t>
  </si>
  <si>
    <t>DIMIX returns the index number of an element within a dimension.</t>
  </si>
  <si>
    <t>DTYPE returns information about the element type of a specified element. It returns N if the element is a numeric element, S if the element is a string element, and C if the element is a consolidated element.</t>
  </si>
  <si>
    <t>Char</t>
  </si>
  <si>
    <t>Dimension str, Element str, Position int</t>
  </si>
  <si>
    <t>ELCOMP returns the name of a child of a consolidated element in a specified dimension. If the element argument is not a consolidated element, the function returns 0.</t>
  </si>
  <si>
    <t>Dimension str, ParentElement str, ChildElement str</t>
  </si>
  <si>
    <t>Dimension str, ChildElement str, ParentElement str</t>
  </si>
  <si>
    <t>ELISPAR determines whether element1 is a parent of element2 in the specified dimension.</t>
  </si>
  <si>
    <t>ELISCOMP determines whether element1 is a child of element2 in the specified dimension.</t>
  </si>
  <si>
    <t>ELISANC determines whether element1 is an ancestor of element2 in the specified dimension.</t>
  </si>
  <si>
    <t>ELCOMPN returns the number of components in a specified element.</t>
  </si>
  <si>
    <t>ELLEV returns the level of an element within a dimension.</t>
  </si>
  <si>
    <t>ELPAR returns the parent of an element in a specified dimension.</t>
  </si>
  <si>
    <t>Dimension str, Element str, Index int</t>
  </si>
  <si>
    <t>ELPARN returns the number of parents of an element in a specified dimension.</t>
  </si>
  <si>
    <t>ELWEIGHT returns the weight of a child in a consolidated element.</t>
  </si>
  <si>
    <t>Dimension str, Element1 str, Element2 str</t>
  </si>
  <si>
    <t>FV returns the value of an annuity at the time of the last payment. An annuity is a series of payments made at equal intervals of time. Payments are assumed to be made at the end of each period.</t>
  </si>
  <si>
    <t>Payment int, Interest int, Periods int</t>
  </si>
  <si>
    <t>PAYMT returns the payment amount of an annuity based on a given initial value or principal, an interest rate, and a number of periods. An annuity is a series of payments made at equal intervals of time.</t>
  </si>
  <si>
    <t>Principal int, Interest int, Periods int</t>
  </si>
  <si>
    <t>PV returns the initial or principal value of an annuity.</t>
  </si>
  <si>
    <t>When included as part of a rules expression, this function allows a subsequent rule with the same area definition to be executed. Normally, TM1 only executes the first rule encountered for a given area.</t>
  </si>
  <si>
    <t>The STET function cancels the effect of a rule for a particular element.</t>
  </si>
  <si>
    <t>ABS returns the absolute value of a number.</t>
  </si>
  <si>
    <t>X int</t>
  </si>
  <si>
    <t>ACOS returns the angle, in radians, whose cosine is x.</t>
  </si>
  <si>
    <t>ASIN returns the angle, in radians, whose sine is x.</t>
  </si>
  <si>
    <t>ATAN returns the angle, in radians, whose tangent is x. The result is between -pi/2 and +pi/2.</t>
  </si>
  <si>
    <t>COS returns the cosine of an angle expressed in radians.</t>
  </si>
  <si>
    <t>EXP returns the natural anti-log of a number.</t>
  </si>
  <si>
    <t>INT returns the largest integer that is less than or equal to a specified value.</t>
  </si>
  <si>
    <t>ISUND returns 1 if a specified value is undefined; otherwise it returns 0.</t>
  </si>
  <si>
    <t>LN returns the natural logarithm (base e) of a number.</t>
  </si>
  <si>
    <t>LOG returns the base 10 logarithm of a positive number.</t>
  </si>
  <si>
    <t>MAX returns the largest number in a pair of values.</t>
  </si>
  <si>
    <t>Value1 int, Value2 int</t>
  </si>
  <si>
    <t>Value int</t>
  </si>
  <si>
    <t>MIN returns the smallest number in a pair of values.</t>
  </si>
  <si>
    <t>MOD returns the remainder of dividing a number by a divisor.</t>
  </si>
  <si>
    <t>Number int, Divisor int</t>
  </si>
  <si>
    <t>RAND generates a random number that is uniformly distributed between 0 and 1. The random number generator is seeded when TM1 is loaded.</t>
  </si>
  <si>
    <t>ROUND rounds a given number to the nearest integer. Rounding can be done in a variety of valid ways.</t>
  </si>
  <si>
    <t>ROUNDP rounds a given number at a specified decimal precision.</t>
  </si>
  <si>
    <t>SIGN determines if a number is positive, negative, or zero. The function returns 1 if the number is positive, -1 if the number is negative, and 0 if the number is zero.</t>
  </si>
  <si>
    <t>SIN returns the sine of a given angle.</t>
  </si>
  <si>
    <t>SQRT returns the square root of a given value.</t>
  </si>
  <si>
    <t>TAN returns the tangent of a given angle.</t>
  </si>
  <si>
    <t>CAPIT applies initial capitalization to every word in a string.</t>
  </si>
  <si>
    <t>String str</t>
  </si>
  <si>
    <t>Number int</t>
  </si>
  <si>
    <t>CHAR returns the character identified by a given ASCII numeric code.</t>
  </si>
  <si>
    <t>CODE returns the ASCII numeric code for a specified character within a string.</t>
  </si>
  <si>
    <t>String str, Location int</t>
  </si>
  <si>
    <t>DELET returns the result of deleting a specified number of characters from a specified starting point within a string.</t>
  </si>
  <si>
    <t>FILL repeats a given string as necessary to return a string of a specified length.</t>
  </si>
  <si>
    <t>String str, Length int</t>
  </si>
  <si>
    <t>INSRT inserts one string into another string at a specified insertion point.</t>
  </si>
  <si>
    <t>String1 str, String2 str, Location int</t>
  </si>
  <si>
    <t>LONG returns the length of a string.</t>
  </si>
  <si>
    <t>LOWER converts all upper case characters in a string to lower case.</t>
  </si>
  <si>
    <t>NUMBR converts a string to a number.</t>
  </si>
  <si>
    <t>SCAN returns a number indicating the starting location of the first occurrence of a specified substring within a given string. If the substring does not occur in the given string, the function returns zero.</t>
  </si>
  <si>
    <t>Substring str, String str</t>
  </si>
  <si>
    <t>Number int, Length int, Decimal int</t>
  </si>
  <si>
    <t>STR converts a number to a string.</t>
  </si>
  <si>
    <t>SUBST returns a substring of a given string.</t>
  </si>
  <si>
    <t>String str, Start int, Length int</t>
  </si>
  <si>
    <t>TRIM returns the result of trimming any leading and trailing blanks from a string.</t>
  </si>
  <si>
    <t>UPPER converts a text string to upper case.</t>
  </si>
  <si>
    <t>When you use a SKIPCHECK declaration to restore the sparse consolidation in a TM1 rule, you must also ensure that all rules-derived cells are identified by feeder statements. To do this, insert a FEEDERS declaration immediately following all rules statements.</t>
  </si>
  <si>
    <t>Rule-generated string values are not displayed when a view is zero-suppressed unless the string resides in a cell that is fed. To enable feeding of string cells, insert the FEEDSTRINGS declaration as the first line of your rule.</t>
  </si>
  <si>
    <t xml:space="preserve">When consolidating data in cubes that have rules defined, TM1 turns off its sparse consolidation algorithm because one or more empty cells may in fact be calculated by a rule. (Skipping rules-calculated cells will cause consolidated totals to be incorrect). When the sparse consolidation algorithm is turned off, every cell is checked for a value during consolidation. This can slow down calculations in cubes that are very large and sparse. </t>
  </si>
  <si>
    <t>FileName str</t>
  </si>
  <si>
    <t>This function deletes an ASCII file.</t>
  </si>
  <si>
    <t>FileName str, String1 str, String2 str, …</t>
  </si>
  <si>
    <t>This function writes a comma-delimited record to an ASCII file.</t>
  </si>
  <si>
    <t>The SetInputCharacterSet function lets you specify the character set used in a TurboIntegrator data source. If the proper converters are present on the machine hosting the server, the input file will be converted to the Unicode character set required by TM1.</t>
  </si>
  <si>
    <t>CharacterSet str</t>
  </si>
  <si>
    <t>The SetOutputCharacterSet function lets you specify the character set to be used when writing to a text file with the TextOutput function.</t>
  </si>
  <si>
    <t>This function writes a comma-delimited record to a text file.</t>
  </si>
  <si>
    <t>DimName str, AttrName str</t>
  </si>
  <si>
    <t>This function deletes an element attribute from the TM1 database.</t>
  </si>
  <si>
    <t>DimName str, PrevAttr str, AttrName str, Type char</t>
  </si>
  <si>
    <t>This function creates a new element attribute for a dimension. The function can create a string, numeric, or alias attribute.</t>
  </si>
  <si>
    <t>This function assigns a value to a numeric element attribute.</t>
  </si>
  <si>
    <t>Value int, DimName str, ElName str, AttrName str</t>
  </si>
  <si>
    <t>This function assigns a value to a string element attribute.</t>
  </si>
  <si>
    <t>Value str, DimName str, ElName str, AttrName str</t>
  </si>
  <si>
    <t>This function causes the immediate termination of a chore. It can be called from any process within a chore.</t>
  </si>
  <si>
    <t>Use this function to turn on (or off) more verbose reporting of messages to the Tm1s.log file. This function is best used as an aid to debugging chores in which several processes call one another through use of the ExecuteProcess function. Passing a zero value turns off the output of these messages, passing a non-zero value enables the output of more verbose messages. By default this flag is off.</t>
  </si>
  <si>
    <t>Flag bit</t>
  </si>
  <si>
    <t>This function calculates the minimum value in a consolidation and returns a single value.</t>
  </si>
  <si>
    <t>flag-value int, cube-name str, element_1 str, element_2 str, ...</t>
  </si>
  <si>
    <t>This function calculates the maximum value in a consolidation and returns a single value.</t>
  </si>
  <si>
    <t>This function counts the value in a consolidation and returns a single value.</t>
  </si>
  <si>
    <t>This function calculates the average value in a consolidation and returns a single value.</t>
  </si>
  <si>
    <t>This function lets you pre-define cube interdependencies to avoid lock contention problems during normal system use.</t>
  </si>
  <si>
    <t>BaseCube str, DependentCube str</t>
  </si>
  <si>
    <t>This function retrieves a value from a numeric cube cell.</t>
  </si>
  <si>
    <t>This function retrieves a value from a string cube cell.</t>
  </si>
  <si>
    <t>This function lets you determine if a cube cell can be written to.</t>
  </si>
  <si>
    <t>This function sends a numeric value to a cube cell.</t>
  </si>
  <si>
    <t xml:space="preserve">This function distributes a specified value to the leaves of a consolidation proportional to existing cell values. </t>
  </si>
  <si>
    <t>This function sends a string value to a cube cell.</t>
  </si>
  <si>
    <t>This clears all of the data in a cube.</t>
  </si>
  <si>
    <t>Cube str</t>
  </si>
  <si>
    <t>Cube str, Dim1 str, Dim2 str, [...]</t>
  </si>
  <si>
    <t>This function creates a cube from specified dimensions. The order of dimensions specified in the function will be the order of dimensions in the cube definition.</t>
  </si>
  <si>
    <t>This function deletes a specified TM1 cube.</t>
  </si>
  <si>
    <t>Use CubeExists to determine if a specific cube exists on the server from which a TurboIntegrator process is executed.</t>
  </si>
  <si>
    <t>This function returns the Boolean value of the Logging property for a specified cube.</t>
  </si>
  <si>
    <t>CubeSaveData() serializes a cube.</t>
  </si>
  <si>
    <t>TI-DataResrv</t>
  </si>
  <si>
    <t>This function is used to encrypt the password for a virtual cube in the }CubeProperties cube.</t>
  </si>
  <si>
    <t>CubeName str, ProviderName str, DataSourceLocation str, DataSourceName str, DataSourceCatalog str, UserID str, Password str, SapClientLang str, ProviderString str</t>
  </si>
  <si>
    <t>This function sets the LOGGING property for a cube.</t>
  </si>
  <si>
    <t>Cube str, LogChanges bit</t>
  </si>
  <si>
    <t>This function unloads a specified cube, along with all associated cube views, from memory.</t>
  </si>
  <si>
    <t>Acquires a Data Reservation for the specified cube, user and tuple.</t>
  </si>
  <si>
    <t>Cube str, User str, bForce bit, Address str, [AddressDelimiter str]</t>
  </si>
  <si>
    <t>Cube str, E1 str, E2 str, [...e256 str]</t>
  </si>
  <si>
    <t>Value int, Cube str, E1 str, E2 str, [...e256 str]</t>
  </si>
  <si>
    <t>Value str, Cube str, E1 str, E2 str, [...e256 str]</t>
  </si>
  <si>
    <t>Releases the specified Data Reservation.</t>
  </si>
  <si>
    <t>Cube str, User str, Address str, [AddressDelimiter str]</t>
  </si>
  <si>
    <t>Releases multiple existing Data Reservations.</t>
  </si>
  <si>
    <t>Cube str, UserFilter str, Address str, [AddressDelimiter str]</t>
  </si>
  <si>
    <t>Finds existing reservations on a specific cube for all or one user.</t>
  </si>
  <si>
    <t>Index int, Cube str, User str, [AddressDelimiter str]</t>
  </si>
  <si>
    <t>Finds existing reservations on a specific cube that would conflict with the specified user, address and tuple.</t>
  </si>
  <si>
    <t>Index int, Cube str, User str, Address str, [AddressDelimiter str]</t>
  </si>
  <si>
    <t>This function creates a new dimension.</t>
  </si>
  <si>
    <t>DimName str</t>
  </si>
  <si>
    <t>This function deletes all the elements in a dimension.</t>
  </si>
  <si>
    <t>This function deletes a dimension from the TM1 database.</t>
  </si>
  <si>
    <t>This function adds a component (child) to a consolidated element. Note that you cannot use this function in the Epilog procedure of a TurboIntegrator process.</t>
  </si>
  <si>
    <t>DimName str, ConsolidatedElName str, ElName str, ElWeight int</t>
  </si>
  <si>
    <t>This function deletes a component (child) from a consolidated element.</t>
  </si>
  <si>
    <t>DimName str, ConsolidatedElName str, ElName str</t>
  </si>
  <si>
    <t>This function deletes an element from a dimension.</t>
  </si>
  <si>
    <t>DimName str, ElName str</t>
  </si>
  <si>
    <t>This function adds an element to a dimension. You can use this function to add numeric, string, or consolidated elements. Note that you cannot use this function in the Data or Epilog procedures of a TurboIntegrator process.</t>
  </si>
  <si>
    <t>DimName str, BeforeElement str, ElName str, ElType str</t>
  </si>
  <si>
    <t>This function returns the principal name of an element or element alias.</t>
  </si>
  <si>
    <t>Use DimensionExists to determine if a specific dimension exists.</t>
  </si>
  <si>
    <t>This function sets a sort type and sense for dimension elements and for components of consolidated elements within a dimension.</t>
  </si>
  <si>
    <t>DimName str, CompSortType str, CompSortSense str, ElSortType str, ElSortSense str</t>
  </si>
  <si>
    <t>This function closes a connection to an ODBC data source.</t>
  </si>
  <si>
    <t>Source str</t>
  </si>
  <si>
    <t>This function opens an ODBC data source for output.</t>
  </si>
  <si>
    <t>Source str, ClientName str, Password str</t>
  </si>
  <si>
    <t>This function opens an ODBC data source for output specifying that the connection should be opened as a Unicode connection.</t>
  </si>
  <si>
    <t>Source str, ClientName str, Password str, UseUnicodeODBC bit</t>
  </si>
  <si>
    <t>This function executes an SQL update query against an open ODBC data source.</t>
  </si>
  <si>
    <t>Source str, SQLQuery str, [SQLQuery2 str, SQLQuery3 str, … str]</t>
  </si>
  <si>
    <t>This function sets whether the ODBC interface should use the Unicode "wide" functions or the regular single-byte character functions.</t>
  </si>
  <si>
    <t>This function executes a command line during a process. You can use ExecuteCommand to run a desktop application, but not a service.</t>
  </si>
  <si>
    <t>CommandLine str, Wait bit</t>
  </si>
  <si>
    <t>ProcessName str, [ParamName1 str, ParamValue1 var, ParamName2 str, ParamValue2 var]</t>
  </si>
  <si>
    <t>This function lets you execute a TurboIntegrator process from within another process.</t>
  </si>
  <si>
    <t>This is contained within an IF statement block and executes if no other conditions are true.</t>
  </si>
  <si>
    <t>This is contained within an IF statement block and executes if the condition is true.</t>
  </si>
  <si>
    <t>Statement expr</t>
  </si>
  <si>
    <t xml:space="preserve">This function returns the full pathname, with trailing slash, of the directory where TurboIntegrator process error files are written. (By default, all process error log files are written to the data directory of the server on which the process resides.) </t>
  </si>
  <si>
    <t xml:space="preserve">This function returns the name of the TurboIntegrator process error log file associated with a process. If the process has not yet generated an error log file, the function returns an empty (null) string. </t>
  </si>
  <si>
    <t>This function returns as a string the name of the current process.</t>
  </si>
  <si>
    <t>This function rejects a source record and places it in the error log, along with a specified error message.</t>
  </si>
  <si>
    <t>ErrorString str</t>
  </si>
  <si>
    <t>This forces a process to skip the current data source item.</t>
  </si>
  <si>
    <t>This function stops processing source data and proceeds to the Epilog portion of a process.</t>
  </si>
  <si>
    <t>This function causes an immediate termination of a process. Processes terminated with this function are flagged with an error status.</t>
  </si>
  <si>
    <t>This function terminates a TurboIntegrator process.</t>
  </si>
  <si>
    <t>LockName str</t>
  </si>
  <si>
    <t>This function can be used in a TurboIntegrator script to force serial execution of a designated set of TurboIntegrator processes. It is recommended (but not enforced) that synchronized() calls be the first statements of a TurboIntegrator process.</t>
  </si>
  <si>
    <t>This function reprocesses all feeders in the rules for a specified cube.</t>
  </si>
  <si>
    <t xml:space="preserve">Deletes any .feeder files that have persisted. When this function is used, all cubes are marked as "do not save feeders" so a subsequent "SaveData" will not persist feeders which means all feeders will be re-calculated on a server re-start. </t>
  </si>
  <si>
    <t>Forces the query to perform as if the cube had a SKIPCHECK in the rules. This means that the query will process only values actually in the cube, as opposed to (the no SKIPCHECK case) where every possible cell would be enumerated looking for values.</t>
  </si>
  <si>
    <t>This function creates a TM1 rule for a specified cube from a text file.</t>
  </si>
  <si>
    <t>Cube str, TextFile str</t>
  </si>
  <si>
    <t xml:space="preserve">This function returns a Boolean value that indicates whether a process reads and writes data to the base data or to the user's active sandbox. The default is for processes to read and write to the base data. </t>
  </si>
  <si>
    <t>ServerSandboxesDelete allows administrators to discard user sandboxes that match certain criteria.</t>
  </si>
  <si>
    <t>Predicates str, PredicateDelimiter str, PredicateListDelimiter str</t>
  </si>
  <si>
    <t xml:space="preserve">This function sets the active sandbox of the executing user. An empty string is used to clear the executing user's active sandbox. This function will throw an error if the executing user does not own a sandbox with the passed name. Because chores run in the context of a special admin user, and can have no active sandbox, this function will always throw an error when executed via a chore. </t>
  </si>
  <si>
    <t>SandboxName str</t>
  </si>
  <si>
    <t xml:space="preserve">This function controls whether a process reads and writes cube data to the base data or to the user's active sandbox. The default is for processes to read and write to the base data. </t>
  </si>
  <si>
    <t>PropertyValue bit</t>
  </si>
  <si>
    <t xml:space="preserve">This function returns the name of the executing user's active sandbox. If the user has no active sandbox, an empty string is returned. Because chores run in the context of a special admin user, and can have no active sandbox, this function will always return an empty string when executed via a chore. </t>
  </si>
  <si>
    <t>This function creates a new client on the server.</t>
  </si>
  <si>
    <t>This function creates a new user group on the server.</t>
  </si>
  <si>
    <t>ClientName str</t>
  </si>
  <si>
    <t>GroupName str</t>
  </si>
  <si>
    <t>ClientName str, GroupName str</t>
  </si>
  <si>
    <t>This function assigns an existing client on a server to an existing user group.</t>
  </si>
  <si>
    <t>This function assigns a password to an existing client on a server.</t>
  </si>
  <si>
    <t>ClientName str, Password str</t>
  </si>
  <si>
    <t>This function deletes a client from the server.</t>
  </si>
  <si>
    <t>This function deletes a user group from the server.</t>
  </si>
  <si>
    <t>This function retrieves the security level assigned to a specified group for a dimension element.</t>
  </si>
  <si>
    <t>DimName str, ElName str, Group str</t>
  </si>
  <si>
    <t>This function assigns a security level to a specified group for a dimension element.</t>
  </si>
  <si>
    <t>Level str, DimName str, ElName str, Group str</t>
  </si>
  <si>
    <t>This function removes a specified client from a user group.</t>
  </si>
  <si>
    <t>This function reads all the security control cubes and regenerates the internal structures in the server that are used by TM1 API functions.</t>
  </si>
  <si>
    <t>This function instructs the server to exit batch update mode.</t>
  </si>
  <si>
    <t>SaveChanges bit</t>
  </si>
  <si>
    <t>This TurboIntegrator function is identical to the BatchUpdateFinish function with the following exception: If a process calls BatchUpdateFinishWait, but is unable to secure a cube write lock to commit changes, the process will wait until the lock becomes available and then commit changes. Data changes applied in the process are not rolled back and the process is not re-executed.</t>
  </si>
  <si>
    <t>This function enables batch updates.</t>
  </si>
  <si>
    <t>Used to disable bulk load processing</t>
  </si>
  <si>
    <t>You can enable Bulk Load Mode in either the Prolog or Epilog section of a TI process. For efficiency, enable Bulk Load Mode in the first, or very close to the first, statement in the Prolog section of your process. After enabling Bulk Load Mode in a process, it can only be disabled on the last line in the Epilog section. If you attempt to disable Bulk Load Mode anywhere else in the process, the process will not compile.</t>
  </si>
  <si>
    <t>This function saves all TM1 data from server memory to disk and restarts the log file.</t>
  </si>
  <si>
    <t>This function shuts down a server running as an application. ServerShutdown cannot be used to shut down a server running as a Windows service.</t>
  </si>
  <si>
    <t>This function sets the alias attribute to be used in a subset. SubsetAliasSet returns 1 if successful, 0 otherwise.</t>
  </si>
  <si>
    <t>DimName str, SubName str, AliasName str</t>
  </si>
  <si>
    <t>This function creates an empty public subset of a specified dimension.</t>
  </si>
  <si>
    <t>DimName str, SubName str</t>
  </si>
  <si>
    <t>This function creates a public subset based on a passed MDX expression.</t>
  </si>
  <si>
    <t>SubName str, MDX_Expression str</t>
  </si>
  <si>
    <t>This function deletes all elements from a public subset.</t>
  </si>
  <si>
    <t>DimName str, SubsetName str</t>
  </si>
  <si>
    <t>This function deletes a subset from the TM1 database.</t>
  </si>
  <si>
    <t>DimName str, SubsetName str, Index int</t>
  </si>
  <si>
    <t>This function deletes an element from a subset.</t>
  </si>
  <si>
    <t>This function adds an element to an existing subset.</t>
  </si>
  <si>
    <t>DimName str, SubsetName str, ElName str, Position int</t>
  </si>
  <si>
    <t>Use SubsetExists to determine if a specific public subset exists.</t>
  </si>
  <si>
    <t>This function sets the Expand Above property  for a subset. When this property is set to TRUE, children of a consolidation are displayed above the consolidation when the consolidation displays on a row, and to the left of the consolidation when the consolidation displays on a column.</t>
  </si>
  <si>
    <t>DimName str, SubsetName str, ExpandAboveFlag bit</t>
  </si>
  <si>
    <t>This function applies an existing display style to a named subset. Display styles are defined for specific elements. If you apply an existing display style to a subset that includes elements that are not included in the display style, no formatting is applied to those elements.</t>
  </si>
  <si>
    <t>DimName str, SubsetName str, FormatName str</t>
  </si>
  <si>
    <t>This function returns the name of the element at a specified index location within a given subset.</t>
  </si>
  <si>
    <t>DimName str, SubsetName str, ElementIndex int</t>
  </si>
  <si>
    <t>This function returns the number of elements in a subset.</t>
  </si>
  <si>
    <t>DimName str, SubsetName str, Flag bit</t>
  </si>
  <si>
    <t>This function sets a subset to use all elements of the parent dimension.</t>
  </si>
  <si>
    <t>This function publishes a named private view on the server.</t>
  </si>
  <si>
    <t>Cube str, View str, PublishPrivateSubsets bit, OverwriteExistingView bit</t>
  </si>
  <si>
    <t>CubeName str, ViewName str, DimName str, StackPosition int</t>
  </si>
  <si>
    <t>This function sets a column dimension for a TM1 view.</t>
  </si>
  <si>
    <t>This function suppresses or enables the display of columns containing only zero values in a TM1 cube view.</t>
  </si>
  <si>
    <t>CubeName str, ViewName str, Flag bit</t>
  </si>
  <si>
    <t>This function constructs, pre-calculates, and stores a stargate view in memory on a server.</t>
  </si>
  <si>
    <t>CubeName str, ViewName str</t>
  </si>
  <si>
    <t>This function creates an empty view of a specified cube.</t>
  </si>
  <si>
    <t>This function deletes a view from the TM1 database.</t>
  </si>
  <si>
    <t>Use ViewExists to determine if a specific public view exists.</t>
  </si>
  <si>
    <t>This function sets an option to include/exclude consolidated values in a view extract. A view extract is a TM1 view exported as an ASCII comma-delimited (.cma) file.</t>
  </si>
  <si>
    <t>This function sets an option to include/exclude rule-calculated values in a view extract. A view extract is a TM1 view exported as an ASCII comma-delimited (.cma) file.</t>
  </si>
  <si>
    <t>This function sets an option to include/exclude zero values in a view extract. A view extract is a TM1 view exported as an ASCII comma-delimited (.cma) file.</t>
  </si>
  <si>
    <t>This function sets a row dimension for a TM1 view.</t>
  </si>
  <si>
    <t>This function suppresses or enables the display of rows containing only zero values in a TM1 cube view.</t>
  </si>
  <si>
    <t>CubeName str, ViewName str, DimName str, SubName str</t>
  </si>
  <si>
    <t>This function assigns a named subset to a cube view.</t>
  </si>
  <si>
    <t>This function suppresses or enables the display of all rows and columns containing only zero values in a TM1 cube view.</t>
  </si>
  <si>
    <t>This function sets a title dimension for a TM1 view.</t>
  </si>
  <si>
    <t>CubeName str, ViewName str, DimName str</t>
  </si>
  <si>
    <t>This function sets a title element for a TM1 view. ViewTitleElementSet is used in conjunction with the ViewTitleDimensionSet function.</t>
  </si>
  <si>
    <t>CubeName str, ViewName str, DimName str, Index int</t>
  </si>
  <si>
    <t>This function sets all data points in a view to zero.</t>
  </si>
  <si>
    <t>This TurboIntegrator function filters InfoCube data as it is pulled into TM1.</t>
  </si>
  <si>
    <t>CharactName str, Sign char, compOperator str, lowValue str, highValue str</t>
  </si>
  <si>
    <t xml:space="preserve">This TurboIntegrator function instructs the TurboIntegrator process to ignore security information when processing an SAP datasource. This variable must be placed in the Prolog. </t>
  </si>
  <si>
    <t xml:space="preserve">This TurboIntegrator local variable instructs the TurboIntegrator process to ignorecharacteristic descriptions when processing an SAP datasource, resulting in a decreased memory consumption and increased performance. This variable must be placed in the Prolog. </t>
  </si>
  <si>
    <t>This function "expands" TurboIntegrator variable names, enclosed in % signs, to their values at run time. If the variable name represents a string variable, the entire variable expression must be enclosed on quotes. For example, "%V1%".</t>
  </si>
  <si>
    <t>This function determines if a specified file exists.</t>
  </si>
  <si>
    <t>This function converts a number to a string, using the decimal separator for the current user locale. (In Windows, the decimal separator is a Regional Options setting.)</t>
  </si>
  <si>
    <t>This function converts a number to a string, using the passed string format, decimal separator, and thousands separator.</t>
  </si>
  <si>
    <t>DimensionName str</t>
  </si>
  <si>
    <t>This function updates the MDX hierarchies in a server without requiring you to restart the server. Use this function after configuring or editing the custom named hierarchy levels for a dimension in the }HierarchyProperties control cube. Leave parameter blank to update all dimensions.</t>
  </si>
  <si>
    <t>This function converts a string to a number, using the decimal separator for the current user locale. (In Windows, the decimal separator is a Regional Options setting.)</t>
  </si>
  <si>
    <t>This function converts a string to a number, using the passed decimal separator and thousands separator.</t>
  </si>
  <si>
    <t>Value int, DecimalSep str, ThousandsSep str</t>
  </si>
  <si>
    <t>Value str, DecimalSep str, ThousandsSep str</t>
  </si>
  <si>
    <t>Value str</t>
  </si>
  <si>
    <t>This function returns a string giving the current TM1 Client. When executed in a process that the user is running directly, it will return the user's TM1 client name. When executed in a chore that the user runs directly, it will also return the user's TM1 client name. If run from a scheduled chore, it will return a name in the form R*&lt;chore name&gt;, for example, R*UpdateRegionDimension.</t>
  </si>
  <si>
    <t>This function lets you use wildcard characters to search for files in a specified directory.</t>
  </si>
  <si>
    <t>Pathname str, PriorFilename str</t>
  </si>
  <si>
    <t>This TurboIntegrator local variable sets the name of the data source (.cma file, cube name, ODBC source) used by the server when executing the process.</t>
  </si>
  <si>
    <t>This TurboIntegrator local variable sets the name of the data source (.cma file, cube name, ODBC source) used by the client when creating or editing the process.</t>
  </si>
  <si>
    <t>Name str</t>
  </si>
  <si>
    <t>This TurboIntegrator local variable sets the type of the data source.</t>
  </si>
  <si>
    <t>This TurboIntegrator local variable sets the name used to connect to the data source.</t>
  </si>
  <si>
    <t>Type str</t>
  </si>
  <si>
    <t>This TurboIntegrator local variable sets the password used to connect to the data source.</t>
  </si>
  <si>
    <t>Password str</t>
  </si>
  <si>
    <t>This TurboIntegrator local variable sets the query string to use with the data source.</t>
  </si>
  <si>
    <t>Query str</t>
  </si>
  <si>
    <t>This TurboIntegrator local variable sets the view to process if the DatasourceType is 'VIEW'.</t>
  </si>
  <si>
    <t>ViewName str</t>
  </si>
  <si>
    <t>This TurboIntegrator local variable sets the subset to process if the DatasourceType is 'SUBSET.'</t>
  </si>
  <si>
    <t>SubsetName str</t>
  </si>
  <si>
    <t>Character str</t>
  </si>
  <si>
    <t>This TurboIntegrator local variable sets the decimal separator to be used in any conversion of a string to a number or a number to a string. If you set this variable you must also set the DatasourceASCIIThousandSeparator variable.</t>
  </si>
  <si>
    <t>This TurboIntegrator local variable sets the thousands separator to be used in any conversion of a string to a number or a number to a string. If you set this variable you must also set the DatasourceASCIIDecimalSeparator variable.</t>
  </si>
  <si>
    <t>This TurboIntegrator local variable sets the ASCII character used to enclose the fields of the source file when DatasourceType is 'CHARACTERDELIMITED'.</t>
  </si>
  <si>
    <t>N int</t>
  </si>
  <si>
    <t>This TurboIntegrator local variable sets the number of header rows to skip when loading.</t>
  </si>
  <si>
    <t>When the DatasourceType is 'VIEW', this TurboIntegrator local variable determines whether the current cell should be treated as a string or a numeric value.</t>
  </si>
  <si>
    <t>When the DatasourceType is 'VIEW', this TurboIntegrator local variable determines the value of the current cell when Value_Is_String is 0. (That is, when the current cell is numeric.)</t>
  </si>
  <si>
    <t>When the DatasourceType is 'VIEW', this TurboIntegrator local variable determines the value of the current cell when Value_Is_String is not 0. (That is, when the current cell contains a string.)</t>
  </si>
  <si>
    <t>riable instructs TurboIntegrator to skip to the next record when a minor error is encountered while processing a record. This variable is useful in scenarios where a single bad field/value in a record causes multiple minor errors.</t>
  </si>
  <si>
    <t>This TurboIntegrator local variable defines the number of minor errors that will be written to the TM1ProcessError.log file during process execution. If this variable is not defined in the process, the default number of minor errors written to the log file is 1000.</t>
  </si>
  <si>
    <t>Flag Bit</t>
  </si>
  <si>
    <t>This TurboIntegrator local variable sets the name of the database collection that contains the cubes, dimensions or other objects to which you want to connect. For Microsoft Analysis Services, this is the name of the database.</t>
  </si>
  <si>
    <t>Catalog str</t>
  </si>
  <si>
    <t>This TurboIntegrator local variable sets any additional connection parameters that may be required to connect to the OLAP server.</t>
  </si>
  <si>
    <t>This TurboIntegrator local variable sets the name of the cube from the OLAP server that you want to use as a data source.</t>
  </si>
  <si>
    <t>This TurboIntegrator local variable sets the name of the location (system) where the OLAP server is running. TM1 uses this variable, but other OLAP servers do not. For TM1 , this is the location where the Admin Host is running.</t>
  </si>
  <si>
    <t>This TurboIntegrator local variable sets the name of the hierarchy for the specific dimension you are using as a data source. You use this variable for other OLAP products, such as SAP BW, where a hierarchy is a separate object. This variable is not used with TM1 data sources.</t>
  </si>
  <si>
    <t>This TurboIntegrator local variable sets the name of the ODBO provider that you want to use as a data source. This is the full name that is assigned by the ODBO provider manufacturer to identify their multidimensional database server. You must use the name of an ODBO provider that is installed on your server.</t>
  </si>
  <si>
    <t>Provider str</t>
  </si>
  <si>
    <t>Location str</t>
  </si>
  <si>
    <t>This TurboIntegrator local variable sets the client number that corresponds to the UI version on the SAP server to which you want to connect.</t>
  </si>
  <si>
    <t>ID int</t>
  </si>
  <si>
    <t>This TurboIntegrator local variable sets the language specification for the language of the SAP system to which you want to connect.</t>
  </si>
  <si>
    <t>Language str</t>
  </si>
  <si>
    <t>Use this function to declare a numeric global variable.</t>
  </si>
  <si>
    <t>Use this function to define a string global variable.</t>
  </si>
  <si>
    <t>VariableName str</t>
  </si>
  <si>
    <t>VariableName int</t>
  </si>
  <si>
    <t>This TurboIntegrator global variable stores the exit status of the most recently executed TurboIntegrator process.</t>
  </si>
  <si>
    <t>This TurboIntegrator global variable counts the minor errors that occur in the Data portion of a TurboIntegrator process. For each minor error encountered, the variable value is incremented by 1.</t>
  </si>
  <si>
    <t>This TurboIntegrator global variable counts the minor errors that occur in the MetaData portion of a TurboIntegrator process. For each minor error encountered, the variable value is incremented by 1.</t>
  </si>
  <si>
    <t>This TurboIntegrator global variable counts the minor errors that occur in the Prolog portion of a TurboIntegrator process. For each minor error encountered, the variable value is incremented by 1.</t>
  </si>
  <si>
    <t>Use this function to declare a numeric user variable.</t>
  </si>
  <si>
    <t>Use this function to define a string user variable.</t>
  </si>
  <si>
    <t>This TurboIntegrator local variable sets the ASCII character to be used as a field delimiter when the DatasourceType is 'CHARACTERDELIMITED'.</t>
  </si>
  <si>
    <t>DescLen</t>
  </si>
  <si>
    <t xml:space="preserve">        &lt;KeyWord name="UNDEF" func="yes"&gt;_x000D_
            &lt;Overload retVal="Undef" descr="128"&gt;_x000D_
            &lt;/Overload&gt;_x000D_
        &lt;/KeyWord&gt;</t>
  </si>
  <si>
    <t xml:space="preserve">        &lt;KeyWord name="DATE" func="yes"&gt;_x000D_
            &lt;Overload retVal="String" descr="93"&gt;_x000D_
                &lt;Param name="SerialNumber int" /&gt;_x000D_
                &lt;Param name="&lt;ReturnFourDigitYear&gt; bit" /&gt;_x000D_
            &lt;/Overload&gt;_x000D_
        &lt;/KeyWord&gt;</t>
  </si>
  <si>
    <t xml:space="preserve">        &lt;KeyWord name="DATES" func="yes"&gt;_x000D_
            &lt;Overload retVal="String" descr="115"&gt;_x000D_
                &lt;Param name="Year int" /&gt;_x000D_
                &lt;Param name="Month int" /&gt;_x000D_
                &lt;Param name="Day int" /&gt;_x000D_
            &lt;/Overload&gt;_x000D_
        &lt;/KeyWord&gt;</t>
  </si>
  <si>
    <t xml:space="preserve">        &lt;KeyWord name="DAY" func="yes"&gt;_x000D_
            &lt;Overload retVal="Int" descr="118"&gt;_x000D_
                &lt;Param name="DateString str" /&gt;_x000D_
            &lt;/Overload&gt;_x000D_
        &lt;/KeyWord&gt;</t>
  </si>
  <si>
    <t xml:space="preserve">        &lt;KeyWord name="DAYNO" func="yes"&gt;_x000D_
            &lt;Overload retVal="Date" descr="74"&gt;_x000D_
                &lt;Param name="DateString str" /&gt;_x000D_
            &lt;/Overload&gt;_x000D_
        &lt;/KeyWord&gt;</t>
  </si>
  <si>
    <t xml:space="preserve">        &lt;KeyWord name="MONTH" func="yes"&gt;_x000D_
            &lt;Overload retVal="Int" descr="122"&gt;_x000D_
                &lt;Param name="DateString str" /&gt;_x000D_
            &lt;/Overload&gt;_x000D_
        &lt;/KeyWord&gt;</t>
  </si>
  <si>
    <t xml:space="preserve">        &lt;KeyWord name="NOW" func="yes"&gt;_x000D_
            &lt;Overload retVal="Date" descr="64"&gt;_x000D_
            &lt;/Overload&gt;_x000D_
        &lt;/KeyWord&gt;</t>
  </si>
  <si>
    <t xml:space="preserve">        &lt;KeyWord name="TIME" func="yes"&gt;_x000D_
            &lt;Overload retVal="String" descr="87"&gt;_x000D_
            &lt;/Overload&gt;_x000D_
        &lt;/KeyWord&gt;</t>
  </si>
  <si>
    <t xml:space="preserve">        &lt;KeyWord name="TIMST" func="yes"&gt;_x000D_
            &lt;Overload retVal="String" descr="43"&gt;_x000D_
                &lt;Param name="DateTime int" /&gt;_x000D_
                &lt;Param name="Format str" /&gt;_x000D_
                &lt;Param name="ExtendedYears bit" /&gt;_x000D_
            &lt;/Overload&gt;_x000D_
        &lt;/KeyWord&gt;</t>
  </si>
  <si>
    <t xml:space="preserve">        &lt;KeyWord name="TIMVL" func="yes"&gt;_x000D_
            &lt;Overload retVal="Int" descr="88"&gt;_x000D_
                &lt;Param name="DateTime int" /&gt;_x000D_
                &lt;Param name="Type str" /&gt;_x000D_
                &lt;Param name="ExtendedYears bit" /&gt;_x000D_
            &lt;/Overload&gt;_x000D_
        &lt;/KeyWord&gt;</t>
  </si>
  <si>
    <t xml:space="preserve">        &lt;KeyWord name="TODAY" func="yes"&gt;_x000D_
            &lt;Overload retVal="String" descr="50"&gt;_x000D_
                &lt;Param name="ReturnFourDigitYear bit" /&gt;_x000D_
            &lt;/Overload&gt;_x000D_
        &lt;/KeyWord&gt;</t>
  </si>
  <si>
    <t xml:space="preserve">        &lt;KeyWord name="YEAR" func="yes"&gt;_x000D_
            &lt;Overload retVal="Int" descr="65"&gt;_x000D_
                &lt;Param name="DateString str" /&gt;_x000D_
            &lt;/Overload&gt;_x000D_
        &lt;/KeyWord&gt;</t>
  </si>
  <si>
    <t xml:space="preserve">        &lt;KeyWord name="ATTRN" func="yes"&gt;_x000D_
            &lt;Overload retVal="Number" descr="73"&gt;_x000D_
                &lt;Param name="Dimension str" /&gt;_x000D_
                &lt;Param name="Element str" /&gt;_x000D_
                &lt;Param name="Attribute str" /&gt;_x000D_
            &lt;/Overload&gt;_x000D_
        &lt;/KeyWord&gt;</t>
  </si>
  <si>
    <t xml:space="preserve">        &lt;KeyWord name="ATTRS" func="yes"&gt;_x000D_
            &lt;Overload retVal="String" descr="72"&gt;_x000D_
                &lt;Param name="Dimension str" /&gt;_x000D_
                &lt;Param name="Element str" /&gt;_x000D_
                &lt;Param name="Attribute str" /&gt;_x000D_
            &lt;/Overload&gt;_x000D_
        &lt;/KeyWord&gt;</t>
  </si>
  <si>
    <t xml:space="preserve">        &lt;KeyWord name="DIMNM" func="yes"&gt;_x000D_
            &lt;Overload retVal="String" descr="80"&gt;_x000D_
                &lt;Param name="Dimension str" /&gt;_x000D_
                &lt;Param name="Index int" /&gt;_x000D_
            &lt;/Overload&gt;_x000D_
        &lt;/KeyWord&gt;</t>
  </si>
  <si>
    <t xml:space="preserve">        &lt;KeyWord name="DIMSIZ" func="yes"&gt;_x000D_
            &lt;Overload retVal="Int" descr="67"&gt;_x000D_
                &lt;Param name="Dimension str" /&gt;_x000D_
            &lt;/Overload&gt;_x000D_
        &lt;/KeyWord&gt;</t>
  </si>
  <si>
    <t xml:space="preserve">        &lt;KeyWord name="DNEXT" func="yes"&gt;_x000D_
            &lt;Overload retVal="String" descr="97"&gt;_x000D_
                &lt;Param name="Dimension str" /&gt;_x000D_
                &lt;Param name="Element str" /&gt;_x000D_
            &lt;/Overload&gt;_x000D_
        &lt;/KeyWord&gt;</t>
  </si>
  <si>
    <t xml:space="preserve">        &lt;KeyWord name="DNLEV" func="yes"&gt;_x000D_
            &lt;Overload retVal="Int" descr="47"&gt;_x000D_
                &lt;Param name="Dimension str" /&gt;_x000D_
            &lt;/Overload&gt;_x000D_
        &lt;/KeyWord&gt;</t>
  </si>
  <si>
    <t xml:space="preserve">        &lt;KeyWord name="TABDIM" func="yes"&gt;_x000D_
            &lt;Overload retVal="String" descr="73"&gt;_x000D_
                &lt;Param name="Cube str" /&gt;_x000D_
                &lt;Param name="Index int" /&gt;_x000D_
            &lt;/Overload&gt;_x000D_
        &lt;/KeyWord&gt;</t>
  </si>
  <si>
    <t xml:space="preserve">        &lt;KeyWord name="DIMIX" func="yes"&gt;_x000D_
            &lt;Overload retVal="Int" descr="64"&gt;_x000D_
                &lt;Param name="Dimension str" /&gt;_x000D_
                &lt;Param name="Element str" /&gt;_x000D_
            &lt;/Overload&gt;_x000D_
        &lt;/KeyWord&gt;</t>
  </si>
  <si>
    <t xml:space="preserve">        &lt;KeyWord name="DTYPE" func="yes"&gt;_x000D_
            &lt;Overload retVal="Char" descr="208"&gt;_x000D_
                &lt;Param name="Dimension str" /&gt;_x000D_
                &lt;Param name="Element str" /&gt;_x000D_
            &lt;/Overload&gt;_x000D_
        &lt;/KeyWord&gt;</t>
  </si>
  <si>
    <t xml:space="preserve">        &lt;KeyWord name="ELCOMP" func="yes"&gt;_x000D_
            &lt;Overload retVal="String" descr="165"&gt;_x000D_
                &lt;Param name="Dimension str" /&gt;_x000D_
                &lt;Param name="Element str" /&gt;_x000D_
                &lt;Param name="Position int" /&gt;_x000D_
            &lt;/Overload&gt;_x000D_
        &lt;/KeyWord&gt;</t>
  </si>
  <si>
    <t xml:space="preserve">        &lt;KeyWord name="ELCOMPN" func="yes"&gt;_x000D_
            &lt;Overload retVal="Int" descr="64"&gt;_x000D_
                &lt;Param name="Dimension str" /&gt;_x000D_
                &lt;Param name="Element str" /&gt;_x000D_
            &lt;/Overload&gt;_x000D_
        &lt;/KeyWord&gt;</t>
  </si>
  <si>
    <t xml:space="preserve">        &lt;KeyWord name="ELISANC" func="yes"&gt;_x000D_
            &lt;Overload retVal="Bit" descr="90"&gt;_x000D_
                &lt;Param name="Dimension str" /&gt;_x000D_
                &lt;Param name="ParentElement str" /&gt;_x000D_
                &lt;Param name="ChildElement str" /&gt;_x000D_
            &lt;/Overload&gt;_x000D_
        &lt;/KeyWord&gt;</t>
  </si>
  <si>
    <t xml:space="preserve">        &lt;KeyWord name="ELISCOMP" func="yes"&gt;_x000D_
            &lt;Overload retVal="Bit" descr="87"&gt;_x000D_
                &lt;Param name="Dimension str" /&gt;_x000D_
                &lt;Param name="ChildElement str" /&gt;_x000D_
                &lt;Param name="ParentElement str" /&gt;_x000D_
            &lt;/Overload&gt;_x000D_
        &lt;/KeyWord&gt;</t>
  </si>
  <si>
    <t xml:space="preserve">        &lt;KeyWord name="ELISPAR" func="yes"&gt;_x000D_
            &lt;Overload retVal="Bit" descr="87"&gt;_x000D_
                &lt;Param name="Dimension str" /&gt;_x000D_
                &lt;Param name="ParentElement str" /&gt;_x000D_
                &lt;Param name="ChildElement str" /&gt;_x000D_
            &lt;/Overload&gt;_x000D_
        &lt;/KeyWord&gt;</t>
  </si>
  <si>
    <t xml:space="preserve">        &lt;KeyWord name="ELLEV" func="yes"&gt;_x000D_
            &lt;Overload retVal="Int" descr="57"&gt;_x000D_
                &lt;Param name="Dimension str" /&gt;_x000D_
                &lt;Param name="Element str" /&gt;_x000D_
            &lt;/Overload&gt;_x000D_
        &lt;/KeyWord&gt;</t>
  </si>
  <si>
    <t xml:space="preserve">        &lt;KeyWord name="ELPAR" func="yes"&gt;_x000D_
            &lt;Overload retVal="String" descr="64"&gt;_x000D_
                &lt;Param name="Dimension str" /&gt;_x000D_
                &lt;Param name="Element str" /&gt;_x000D_
                &lt;Param name="Index int" /&gt;_x000D_
            &lt;/Overload&gt;_x000D_
        &lt;/KeyWord&gt;</t>
  </si>
  <si>
    <t xml:space="preserve">        &lt;KeyWord name="ELPARN" func="yes"&gt;_x000D_
            &lt;Overload retVal="Int" descr="76"&gt;_x000D_
                &lt;Param name="Dimension str" /&gt;_x000D_
                &lt;Param name="Element str" /&gt;_x000D_
            &lt;/Overload&gt;_x000D_
        &lt;/KeyWord&gt;</t>
  </si>
  <si>
    <t xml:space="preserve">        &lt;KeyWord name="ELWEIGHT" func="yes"&gt;_x000D_
            &lt;Overload retVal="Number" descr="65"&gt;_x000D_
                &lt;Param name="Dimension str" /&gt;_x000D_
                &lt;Param name="Element1 str" /&gt;_x000D_
                &lt;Param name="Element2 str" /&gt;_x000D_
            &lt;/Overload&gt;_x000D_
        &lt;/KeyWord&gt;</t>
  </si>
  <si>
    <t xml:space="preserve">        &lt;KeyWord name="FV" func="yes"&gt;_x000D_
            &lt;Overload retVal="Number" descr="194"&gt;_x000D_
                &lt;Param name="Payment int" /&gt;_x000D_
                &lt;Param name="Interest int" /&gt;_x000D_
                &lt;Param name="Periods int" /&gt;_x000D_
            &lt;/Overload&gt;_x000D_
        &lt;/KeyWord&gt;</t>
  </si>
  <si>
    <t xml:space="preserve">        &lt;KeyWord name="PAYMT" func="yes"&gt;_x000D_
            &lt;Overload retVal="Number" descr="202"&gt;_x000D_
                &lt;Param name="Principal int" /&gt;_x000D_
                &lt;Param name="Interest int" /&gt;_x000D_
                &lt;Param name="Periods int" /&gt;_x000D_
            &lt;/Overload&gt;_x000D_
        &lt;/KeyWord&gt;</t>
  </si>
  <si>
    <t xml:space="preserve">        &lt;KeyWord name="PV" func="yes"&gt;_x000D_
            &lt;Overload retVal="Number" descr="56"&gt;_x000D_
                &lt;Param name="Payment int" /&gt;_x000D_
                &lt;Param name="Interest int" /&gt;_x000D_
                &lt;Param name="Periods int" /&gt;_x000D_
            &lt;/Overload&gt;_x000D_
        &lt;/KeyWord&gt;</t>
  </si>
  <si>
    <t xml:space="preserve">        &lt;KeyWord name="ABS" func="yes"&gt;_x000D_
            &lt;Overload retVal="Number" descr="43"&gt;_x000D_
                &lt;Param name="X int" /&gt;_x000D_
            &lt;/Overload&gt;_x000D_
        &lt;/KeyWord&gt;</t>
  </si>
  <si>
    <t xml:space="preserve">        &lt;KeyWord name="ACOS" func="yes"&gt;_x000D_
            &lt;Overload retVal="Number" descr="54"&gt;_x000D_
                &lt;Param name="X int" /&gt;_x000D_
            &lt;/Overload&gt;_x000D_
        &lt;/KeyWord&gt;</t>
  </si>
  <si>
    <t xml:space="preserve">        &lt;KeyWord name="ASIN" func="yes"&gt;_x000D_
            &lt;Overload retVal="Number" descr="52"&gt;_x000D_
                &lt;Param name="X int" /&gt;_x000D_
            &lt;/Overload&gt;_x000D_
        &lt;/KeyWord&gt;</t>
  </si>
  <si>
    <t xml:space="preserve">        &lt;KeyWord name="ATAN" func="yes"&gt;_x000D_
            &lt;Overload retVal="Number" descr="94"&gt;_x000D_
                &lt;Param name="X int" /&gt;_x000D_
            &lt;/Overload&gt;_x000D_
        &lt;/KeyWord&gt;</t>
  </si>
  <si>
    <t xml:space="preserve">        &lt;KeyWord name="COS" func="yes"&gt;_x000D_
            &lt;Overload retVal="Number" descr="56"&gt;_x000D_
                &lt;Param name="X int" /&gt;_x000D_
            &lt;/Overload&gt;_x000D_
        &lt;/KeyWord&gt;</t>
  </si>
  <si>
    <t xml:space="preserve">        &lt;KeyWord name="EXP" func="yes"&gt;_x000D_
            &lt;Overload retVal="Number" descr="45"&gt;_x000D_
                &lt;Param name="X int" /&gt;_x000D_
            &lt;/Overload&gt;_x000D_
        &lt;/KeyWord&gt;</t>
  </si>
  <si>
    <t xml:space="preserve">        &lt;KeyWord name="INT" func="yes"&gt;_x000D_
            &lt;Overload retVal="Int" descr="80"&gt;_x000D_
                &lt;Param name="X int" /&gt;_x000D_
            &lt;/Overload&gt;_x000D_
        &lt;/KeyWord&gt;</t>
  </si>
  <si>
    <t xml:space="preserve">        &lt;KeyWord name="ISUND" func="yes"&gt;_x000D_
            &lt;Overload retVal="Bit" descr="74"&gt;_x000D_
                &lt;Param name="X int" /&gt;_x000D_
            &lt;/Overload&gt;_x000D_
        &lt;/KeyWord&gt;</t>
  </si>
  <si>
    <t xml:space="preserve">        &lt;KeyWord name="LN" func="yes"&gt;_x000D_
            &lt;Overload retVal="Number" descr="54"&gt;_x000D_
                &lt;Param name="X int" /&gt;_x000D_
            &lt;/Overload&gt;_x000D_
        &lt;/KeyWord&gt;</t>
  </si>
  <si>
    <t xml:space="preserve">        &lt;KeyWord name="LOG" func="yes"&gt;_x000D_
            &lt;Overload retVal="Number" descr="55"&gt;_x000D_
                &lt;Param name="X int" /&gt;_x000D_
            &lt;/Overload&gt;_x000D_
        &lt;/KeyWord&gt;</t>
  </si>
  <si>
    <t xml:space="preserve">        &lt;KeyWord name="MAX" func="yes"&gt;_x000D_
            &lt;Overload retVal="Number" descr="51"&gt;_x000D_
                &lt;Param name="Value1 int" /&gt;_x000D_
                &lt;Param name="Value2 int" /&gt;_x000D_
            &lt;/Overload&gt;_x000D_
        &lt;/KeyWord&gt;</t>
  </si>
  <si>
    <t xml:space="preserve">        &lt;KeyWord name="MIN" func="yes"&gt;_x000D_
            &lt;Overload retVal="Number" descr="52"&gt;_x000D_
                &lt;Param name="Value1 int" /&gt;_x000D_
                &lt;Param name="Value2 int" /&gt;_x000D_
            &lt;/Overload&gt;_x000D_
        &lt;/KeyWord&gt;</t>
  </si>
  <si>
    <t xml:space="preserve">        &lt;KeyWord name="MOD" func="yes"&gt;_x000D_
            &lt;Overload retVal="Int" descr="60"&gt;_x000D_
                &lt;Param name="Number int" /&gt;_x000D_
                &lt;Param name="Divisor int" /&gt;_x000D_
            &lt;/Overload&gt;_x000D_
        &lt;/KeyWord&gt;</t>
  </si>
  <si>
    <t xml:space="preserve">        &lt;KeyWord name="RAND" func="yes"&gt;_x000D_
            &lt;Overload retVal="Number" descr="135"&gt;_x000D_
            &lt;/Overload&gt;_x000D_
        &lt;/KeyWord&gt;</t>
  </si>
  <si>
    <t xml:space="preserve">        &lt;KeyWord name="ROUND" func="yes"&gt;_x000D_
            &lt;Overload retVal="Number" descr="100"&gt;_x000D_
                &lt;Param name="X int" /&gt;_x000D_
            &lt;/Overload&gt;_x000D_
        &lt;/KeyWord&gt;</t>
  </si>
  <si>
    <t xml:space="preserve">        &lt;KeyWord name="ROUNDP" func="yes"&gt;_x000D_
            &lt;Overload retVal="Number" descr="62"&gt;_x000D_
                &lt;Param name="X int" /&gt;_x000D_
            &lt;/Overload&gt;_x000D_
        &lt;/KeyWord&gt;</t>
  </si>
  <si>
    <t xml:space="preserve">        &lt;KeyWord name="SIGN" func="yes"&gt;_x000D_
            &lt;Overload retVal="Number" descr="168"&gt;_x000D_
                &lt;Param name="X int" /&gt;_x000D_
            &lt;/Overload&gt;_x000D_
        &lt;/KeyWord&gt;</t>
  </si>
  <si>
    <t xml:space="preserve">        &lt;KeyWord name="SIN" func="yes"&gt;_x000D_
            &lt;Overload retVal="Number" descr="38"&gt;_x000D_
                &lt;Param name="X int" /&gt;_x000D_
            &lt;/Overload&gt;_x000D_
        &lt;/KeyWord&gt;</t>
  </si>
  <si>
    <t xml:space="preserve">        &lt;KeyWord name="SQRT" func="yes"&gt;_x000D_
            &lt;Overload retVal="Number" descr="46"&gt;_x000D_
                &lt;Param name="X int" /&gt;_x000D_
            &lt;/Overload&gt;_x000D_
        &lt;/KeyWord&gt;</t>
  </si>
  <si>
    <t xml:space="preserve">        &lt;KeyWord name="TAN" func="yes"&gt;_x000D_
            &lt;Overload retVal="Number" descr="41"&gt;_x000D_
                &lt;Param name="X int" /&gt;_x000D_
            &lt;/Overload&gt;_x000D_
        &lt;/KeyWord&gt;</t>
  </si>
  <si>
    <t xml:space="preserve">        &lt;KeyWord name="CAPIT" func="yes"&gt;_x000D_
            &lt;Overload retVal="String" descr="63"&gt;_x000D_
                &lt;Param name="String str" /&gt;_x000D_
            &lt;/Overload&gt;_x000D_
        &lt;/KeyWord&gt;</t>
  </si>
  <si>
    <t xml:space="preserve">        &lt;KeyWord name="CHAR" func="yes"&gt;_x000D_
            &lt;Overload retVal="Char" descr="68"&gt;_x000D_
                &lt;Param name="Number int" /&gt;_x000D_
            &lt;/Overload&gt;_x000D_
        &lt;/KeyWord&gt;</t>
  </si>
  <si>
    <t xml:space="preserve">        &lt;KeyWord name="CODE" func="yes"&gt;_x000D_
            &lt;Overload retVal="Int" descr="78"&gt;_x000D_
                &lt;Param name="String str" /&gt;_x000D_
                &lt;Param name="Location int" /&gt;_x000D_
            &lt;/Overload&gt;_x000D_
        &lt;/KeyWord&gt;</t>
  </si>
  <si>
    <t xml:space="preserve">        &lt;KeyWord name="DELET" func="yes"&gt;_x000D_
            &lt;Overload retVal="String" descr="118"&gt;_x000D_
                &lt;Param name="String str" /&gt;_x000D_
                &lt;Param name="Start int" /&gt;_x000D_
                &lt;Param name="Length int" /&gt;_x000D_
            &lt;/Overload&gt;_x000D_
        &lt;/KeyWord&gt;</t>
  </si>
  <si>
    <t xml:space="preserve">        &lt;KeyWord name="FILL" func="yes"&gt;_x000D_
            &lt;Overload retVal="String" descr="82"&gt;_x000D_
                &lt;Param name="String str" /&gt;_x000D_
                &lt;Param name="Length int" /&gt;_x000D_
            &lt;/Overload&gt;_x000D_
        &lt;/KeyWord&gt;</t>
  </si>
  <si>
    <t xml:space="preserve">        &lt;KeyWord name="INSRT" func="yes"&gt;_x000D_
            &lt;Overload retVal="String" descr="76"&gt;_x000D_
                &lt;Param name="String1 str" /&gt;_x000D_
                &lt;Param name="String2 str" /&gt;_x000D_
                &lt;Param name="Location int" /&gt;_x000D_
            &lt;/Overload&gt;_x000D_
        &lt;/KeyWord&gt;</t>
  </si>
  <si>
    <t xml:space="preserve">        &lt;KeyWord name="LONG" func="yes"&gt;_x000D_
            &lt;Overload retVal="Int" descr="36"&gt;_x000D_
                &lt;Param name="String str" /&gt;_x000D_
            &lt;/Overload&gt;_x000D_
        &lt;/KeyWord&gt;</t>
  </si>
  <si>
    <t xml:space="preserve">        &lt;KeyWord name="LOWER" func="yes"&gt;_x000D_
            &lt;Overload retVal="String" descr="67"&gt;_x000D_
                &lt;Param name="String str" /&gt;_x000D_
            &lt;/Overload&gt;_x000D_
        &lt;/KeyWord&gt;</t>
  </si>
  <si>
    <t xml:space="preserve">        &lt;KeyWord name="NUMBR" func="yes"&gt;_x000D_
            &lt;Overload retVal="Number" descr="36"&gt;_x000D_
                &lt;Param name="String str" /&gt;_x000D_
            &lt;/Overload&gt;_x000D_
        &lt;/KeyWord&gt;</t>
  </si>
  <si>
    <t xml:space="preserve">        &lt;KeyWord name="SCAN" func="yes"&gt;_x000D_
            &lt;Overload retVal="Int" descr="206"&gt;_x000D_
                &lt;Param name="Substring str" /&gt;_x000D_
                &lt;Param name="String str" /&gt;_x000D_
            &lt;/Overload&gt;_x000D_
        &lt;/KeyWord&gt;</t>
  </si>
  <si>
    <t xml:space="preserve">        &lt;KeyWord name="STR" func="yes"&gt;_x000D_
            &lt;Overload retVal="String" descr="34"&gt;_x000D_
                &lt;Param name="Number int" /&gt;_x000D_
                &lt;Param name="Length int" /&gt;_x000D_
                &lt;Param name="Decimal int" /&gt;_x000D_
            &lt;/Overload&gt;_x000D_
        &lt;/KeyWord&gt;</t>
  </si>
  <si>
    <t xml:space="preserve">        &lt;KeyWord name="SUBST" func="yes"&gt;_x000D_
            &lt;Overload retVal="String" descr="44"&gt;_x000D_
                &lt;Param name="String str" /&gt;_x000D_
                &lt;Param name="Start int" /&gt;_x000D_
                &lt;Param name="Length int" /&gt;_x000D_
            &lt;/Overload&gt;_x000D_
        &lt;/KeyWord&gt;</t>
  </si>
  <si>
    <t xml:space="preserve">        &lt;KeyWord name="TRIM" func="yes"&gt;_x000D_
            &lt;Overload retVal="String" descr="82"&gt;_x000D_
                &lt;Param name="String str" /&gt;_x000D_
            &lt;/Overload&gt;_x000D_
        &lt;/KeyWord&gt;</t>
  </si>
  <si>
    <t xml:space="preserve">        &lt;KeyWord name="UPPER" func="yes"&gt;_x000D_
            &lt;Overload retVal="String" descr="43"&gt;_x000D_
                &lt;Param name="String str" /&gt;_x000D_
            &lt;/Overload&gt;_x000D_
        &lt;/KeyWord&gt;</t>
  </si>
  <si>
    <t xml:space="preserve">        &lt;KeyWord name="ASCIIDelete" func="yes"&gt;_x000D_
            &lt;Overload retVal="None" descr="36"&gt;_x000D_
                &lt;Param name="FileName str" /&gt;_x000D_
            &lt;/Overload&gt;_x000D_
        &lt;/KeyWord&gt;</t>
  </si>
  <si>
    <t xml:space="preserve">        &lt;KeyWord name="ASCIIOutput" func="yes"&gt;_x000D_
            &lt;Overload retVal="Bit" descr="63"&gt;_x000D_
                &lt;Param name="FileName str" /&gt;_x000D_
                &lt;Param name="String1 str" /&gt;_x000D_
                &lt;Param name="String2 str" /&gt;_x000D_
                &lt;Param name="…" /&gt;_x000D_
            &lt;/Overload&gt;_x000D_
        &lt;/KeyWord&gt;</t>
  </si>
  <si>
    <t xml:space="preserve">        &lt;KeyWord name="SetInputCharacterSet" func="yes"&gt;_x000D_
            &lt;Overload retVal="None" descr="258"&gt;_x000D_
                &lt;Param name="CharacterSet str" /&gt;_x000D_
            &lt;/Overload&gt;_x000D_
        &lt;/KeyWord&gt;</t>
  </si>
  <si>
    <t xml:space="preserve">        &lt;KeyWord name="SetOutputCharacterSet" func="yes"&gt;_x000D_
            &lt;Overload retVal="None" descr="138"&gt;_x000D_
                &lt;Param name="CharacterSet str" /&gt;_x000D_
            &lt;/Overload&gt;_x000D_
        &lt;/KeyWord&gt;</t>
  </si>
  <si>
    <t xml:space="preserve">        &lt;KeyWord name="TextOutput" func="yes"&gt;_x000D_
            &lt;Overload retVal="Bit" descr="61"&gt;_x000D_
                &lt;Param name="FileName str" /&gt;_x000D_
                &lt;Param name="String1 str" /&gt;_x000D_
                &lt;Param name="String2 str" /&gt;_x000D_
                &lt;Param name="…" /&gt;_x000D_
            &lt;/Overload&gt;_x000D_
        &lt;/KeyWord&gt;</t>
  </si>
  <si>
    <t xml:space="preserve">        &lt;KeyWord name="AttrDelete" func="yes"&gt;_x000D_
            &lt;Overload retVal="None" descr="65"&gt;_x000D_
                &lt;Param name="DimName str" /&gt;_x000D_
                &lt;Param name="AttrName str" /&gt;_x000D_
            &lt;/Overload&gt;_x000D_
        &lt;/KeyWord&gt;</t>
  </si>
  <si>
    <t xml:space="preserve">        &lt;KeyWord name="AttrInsert" func="yes"&gt;_x000D_
            &lt;Overload retVal="None" descr="125"&gt;_x000D_
                &lt;Param name="DimName str" /&gt;_x000D_
                &lt;Param name="PrevAttr str" /&gt;_x000D_
                &lt;Param name="AttrName str" /&gt;_x000D_
                &lt;Param name="Type char" /&gt;_x000D_
            &lt;/Overload&gt;_x000D_
        &lt;/KeyWord&gt;</t>
  </si>
  <si>
    <t xml:space="preserve">        &lt;KeyWord name="AttrPutN" func="yes"&gt;_x000D_
            &lt;Overload retVal="None" descr="61"&gt;_x000D_
                &lt;Param name="Value int" /&gt;_x000D_
                &lt;Param name="DimName str" /&gt;_x000D_
                &lt;Param name="ElName str" /&gt;_x000D_
                &lt;Param name="AttrName str" /&gt;_x000D_
            &lt;/Overload&gt;_x000D_
        &lt;/KeyWord&gt;</t>
  </si>
  <si>
    <t xml:space="preserve">        &lt;KeyWord name="AttrPutS" func="yes"&gt;_x000D_
            &lt;Overload retVal="None" descr="60"&gt;_x000D_
                &lt;Param name="Value str" /&gt;_x000D_
                &lt;Param name="DimName str" /&gt;_x000D_
                &lt;Param name="ElName str" /&gt;_x000D_
                &lt;Param name="AttrName str" /&gt;_x000D_
            &lt;/Overload&gt;_x000D_
        &lt;/KeyWord&gt;</t>
  </si>
  <si>
    <t xml:space="preserve">        &lt;KeyWord name="ChoreQuit" /&gt;</t>
  </si>
  <si>
    <t xml:space="preserve">        &lt;KeyWord name="SetChoreVerboseMessages" func="yes"&gt;_x000D_
            &lt;Overload retVal="None" descr="399"&gt;_x000D_
                &lt;Param name="Flag bit" /&gt;_x000D_
            &lt;/Overload&gt;_x000D_
        &lt;/KeyWord&gt;</t>
  </si>
  <si>
    <t xml:space="preserve">        &lt;KeyWord name="ConsolidatedAvg" func="yes"&gt;_x000D_
            &lt;Overload retVal="Number" descr="89"&gt;_x000D_
                &lt;Param name="flag-value int" /&gt;_x000D_
                &lt;Param name="cube-name str" /&gt;_x000D_
                &lt;Param name="element_1 str" /&gt;_x000D_
                &lt;Param name="element_2 str" /&gt;_x000D_
                &lt;Param name="..." /&gt;_x000D_
            &lt;/Overload&gt;_x000D_
        &lt;/KeyWord&gt;</t>
  </si>
  <si>
    <t xml:space="preserve">        &lt;KeyWord name="ConsolidatedCount" func="yes"&gt;_x000D_
            &lt;Overload retVal="Number" descr="77"&gt;_x000D_
                &lt;Param name="flag-value int" /&gt;_x000D_
                &lt;Param name="cube-name str" /&gt;_x000D_
                &lt;Param name="element_1 str" /&gt;_x000D_
                &lt;Param name="element_2 str" /&gt;_x000D_
                &lt;Param name="..." /&gt;_x000D_
            &lt;/Overload&gt;_x000D_
        &lt;/KeyWord&gt;</t>
  </si>
  <si>
    <t xml:space="preserve">        &lt;KeyWord name="ConsolidatedMax" func="yes"&gt;_x000D_
            &lt;Overload retVal="Number" descr="89"&gt;_x000D_
                &lt;Param name="flag-value int" /&gt;_x000D_
                &lt;Param name="cube-name str" /&gt;_x000D_
                &lt;Param name="element_1 str" /&gt;_x000D_
                &lt;Param name="element_2 str" /&gt;_x000D_
                &lt;Param name="..." /&gt;_x000D_
            &lt;/Overload&gt;_x000D_
        &lt;/KeyWord&gt;</t>
  </si>
  <si>
    <t xml:space="preserve">        &lt;KeyWord name="ConsolidatedMin" func="yes"&gt;_x000D_
            &lt;Overload retVal="Number" descr="89"&gt;_x000D_
                &lt;Param name="flag-value int" /&gt;_x000D_
                &lt;Param name="cube-name str" /&gt;_x000D_
                &lt;Param name="element_1 str" /&gt;_x000D_
                &lt;Param name="element_2 str" /&gt;_x000D_
                &lt;Param name="..." /&gt;_x000D_
            &lt;/Overload&gt;_x000D_
        &lt;/KeyWord&gt;</t>
  </si>
  <si>
    <t xml:space="preserve">        &lt;KeyWord name="AddCubeDependency" func="yes"&gt;_x000D_
            &lt;Overload retVal="None" descr="116"&gt;_x000D_
                &lt;Param name="BaseCube str" /&gt;_x000D_
                &lt;Param name="DependentCube str" /&gt;_x000D_
            &lt;/Overload&gt;_x000D_
        &lt;/KeyWord&gt;</t>
  </si>
  <si>
    <t xml:space="preserve">        &lt;KeyWord name="CellGetN" func="yes"&gt;_x000D_
            &lt;Overload retVal="Number" descr="57"&gt;_x000D_
                &lt;Param name="Cube str" /&gt;_x000D_
                &lt;Param name="E1 str" /&gt;_x000D_
                &lt;Param name="E2 str" /&gt;_x000D_
                &lt;Param name="[...e256 str]" /&gt;_x000D_
            &lt;/Overload&gt;_x000D_
        &lt;/KeyWord&gt;</t>
  </si>
  <si>
    <t xml:space="preserve">        &lt;KeyWord name="CellGetS" func="yes"&gt;_x000D_
            &lt;Overload retVal="String" descr="56"&gt;_x000D_
                &lt;Param name="Cube str" /&gt;_x000D_
                &lt;Param name="E1 str" /&gt;_x000D_
                &lt;Param name="E2 str" /&gt;_x000D_
                &lt;Param name="[...e256 str]" /&gt;_x000D_
            &lt;/Overload&gt;_x000D_
        &lt;/KeyWord&gt;</t>
  </si>
  <si>
    <t xml:space="preserve">        &lt;KeyWord name="CellIsUpdateable" func="yes"&gt;_x000D_
            &lt;Overload retVal="Bit" descr="66"&gt;_x000D_
                &lt;Param name="Cube str" /&gt;_x000D_
                &lt;Param name="E1 str" /&gt;_x000D_
                &lt;Param name="E2 str" /&gt;_x000D_
                &lt;Param name="[...e256 str]" /&gt;_x000D_
            &lt;/Overload&gt;_x000D_
        &lt;/KeyWord&gt;</t>
  </si>
  <si>
    <t xml:space="preserve">        &lt;KeyWord name="CellPutN" func="yes"&gt;_x000D_
            &lt;Overload retVal="None" descr="51"&gt;_x000D_
                &lt;Param name="Value int" /&gt;_x000D_
                &lt;Param name="Cube str" /&gt;_x000D_
                &lt;Param name="E1 str" /&gt;_x000D_
                &lt;Param name="E2 str" /&gt;_x000D_
                &lt;Param name="[...e256 str]" /&gt;_x000D_
            &lt;/Overload&gt;_x000D_
        &lt;/KeyWord&gt;</t>
  </si>
  <si>
    <t xml:space="preserve">        &lt;KeyWord name="CellPutProportionalSpread" func="yes"&gt;_x000D_
            &lt;Overload retVal="None" descr="115"&gt;_x000D_
                &lt;Param name="Value int" /&gt;_x000D_
                &lt;Param name="Cube str" /&gt;_x000D_
                &lt;Param name="E1 str" /&gt;_x000D_
                &lt;Param name="E2 str" /&gt;_x000D_
                &lt;Param name="[...e256 str]" /&gt;_x000D_
            &lt;/Overload&gt;_x000D_
        &lt;/KeyWord&gt;</t>
  </si>
  <si>
    <t xml:space="preserve">        &lt;KeyWord name="CellPutS" func="yes"&gt;_x000D_
            &lt;Overload retVal="None" descr="50"&gt;_x000D_
                &lt;Param name="Value str" /&gt;_x000D_
                &lt;Param name="Cube str" /&gt;_x000D_
                &lt;Param name="E1 str" /&gt;_x000D_
                &lt;Param name="E2 str" /&gt;_x000D_
                &lt;Param name="[...e256 str]" /&gt;_x000D_
            &lt;/Overload&gt;_x000D_
        &lt;/KeyWord&gt;</t>
  </si>
  <si>
    <t xml:space="preserve">        &lt;KeyWord name="CubeClearData" func="yes"&gt;_x000D_
            &lt;Overload retVal="None" descr="38"&gt;_x000D_
                &lt;Param name="Cube str" /&gt;_x000D_
            &lt;/Overload&gt;_x000D_
        &lt;/KeyWord&gt;</t>
  </si>
  <si>
    <t xml:space="preserve">        &lt;KeyWord name="CubeCreate" func="yes"&gt;_x000D_
            &lt;Overload retVal="None" descr="161"&gt;_x000D_
                &lt;Param name="Cube str" /&gt;_x000D_
                &lt;Param name="Dim1 str" /&gt;_x000D_
                &lt;Param name="Dim2 str" /&gt;_x000D_
                &lt;Param name="[...]" /&gt;_x000D_
            &lt;/Overload&gt;_x000D_
        &lt;/KeyWord&gt;</t>
  </si>
  <si>
    <t xml:space="preserve">        &lt;KeyWord name="CubeDestroy" func="yes"&gt;_x000D_
            &lt;Overload retVal="None" descr="43"&gt;_x000D_
                &lt;Param name="Cube str" /&gt;_x000D_
            &lt;/Overload&gt;_x000D_
        &lt;/KeyWord&gt;</t>
  </si>
  <si>
    <t xml:space="preserve">        &lt;KeyWord name="CubeExists" func="yes"&gt;_x000D_
            &lt;Overload retVal="Bit" descr="117"&gt;_x000D_
                &lt;Param name="Cube str" /&gt;_x000D_
            &lt;/Overload&gt;_x000D_
        &lt;/KeyWord&gt;</t>
  </si>
  <si>
    <t xml:space="preserve">        &lt;KeyWord name="CubeGetLogChanges" func="yes"&gt;_x000D_
            &lt;Overload retVal="Bit" descr="85"&gt;_x000D_
                &lt;Param name="Cube str" /&gt;_x000D_
            &lt;/Overload&gt;_x000D_
        &lt;/KeyWord&gt;</t>
  </si>
  <si>
    <t xml:space="preserve">        &lt;KeyWord name="CubeSaveData" func="yes"&gt;_x000D_
            &lt;Overload retVal="None" descr="33"&gt;_x000D_
                &lt;Param name="Cube str" /&gt;_x000D_
            &lt;/Overload&gt;_x000D_
        &lt;/KeyWord&gt;</t>
  </si>
  <si>
    <t xml:space="preserve">        &lt;KeyWord name="CubeSetConnParams" func="yes"&gt;_x000D_
            &lt;Overload retVal="None" descr="93"&gt;_x000D_
                &lt;Param name="CubeName str" /&gt;_x000D_
                &lt;Param name="ProviderName str" /&gt;_x000D_
                &lt;Param name="DataSourceLocation str" /&gt;_x000D_
                &lt;Param name="DataSourceName str" /&gt;_x000D_
                &lt;Param name="DataSourceCatalog str" /&gt;_x000D_
                &lt;Param name="UserID str" /&gt;_x000D_
                &lt;Param name="Password str" /&gt;_x000D_
                &lt;Param name="SapClientLang str" /&gt;_x000D_
                &lt;Param name="ProviderString str" /&gt;_x000D_
            &lt;/Overload&gt;_x000D_
        &lt;/KeyWord&gt;</t>
  </si>
  <si>
    <t xml:space="preserve">        &lt;KeyWord name="CubeSetLogChanges" func="yes"&gt;_x000D_
            &lt;Overload retVal="None" descr="51"&gt;_x000D_
                &lt;Param name="Cube str" /&gt;_x000D_
                &lt;Param name="LogChanges bit" /&gt;_x000D_
            &lt;/Overload&gt;_x000D_
        &lt;/KeyWord&gt;</t>
  </si>
  <si>
    <t xml:space="preserve">        &lt;KeyWord name="CubeUnload" func="yes"&gt;_x000D_
            &lt;Overload retVal="None" descr="90"&gt;_x000D_
                &lt;Param name="Cube str" /&gt;_x000D_
            &lt;/Overload&gt;_x000D_
        &lt;/KeyWord&gt;</t>
  </si>
  <si>
    <t xml:space="preserve">        &lt;KeyWord name="CubeDataReservationAcquire" func="yes"&gt;_x000D_
            &lt;Overload retVal="None" descr="67"&gt;_x000D_
                &lt;Param name="Cube str" /&gt;_x000D_
                &lt;Param name="User str" /&gt;_x000D_
                &lt;Param name="bForce bit" /&gt;_x000D_
                &lt;Param name="Address str" /&gt;_x000D_
                &lt;Param name="[AddressDelimiter str]" /&gt;_x000D_
            &lt;/Overload&gt;_x000D_
        &lt;/KeyWord&gt;</t>
  </si>
  <si>
    <t xml:space="preserve">        &lt;KeyWord name="CubeDataReservationGet" func="yes"&gt;_x000D_
            &lt;Overload retVal="String" descr="67"&gt;_x000D_
                &lt;Param name="Index int" /&gt;_x000D_
                &lt;Param name="Cube str" /&gt;_x000D_
                &lt;Param name="User str" /&gt;_x000D_
                &lt;Param name="[AddressDelimiter str]" /&gt;_x000D_
            &lt;/Overload&gt;_x000D_
        &lt;/KeyWord&gt;</t>
  </si>
  <si>
    <t xml:space="preserve">        &lt;KeyWord name="CubeDataReservationGetConflicts" func="yes"&gt;_x000D_
            &lt;Overload retVal="String" descr="110"&gt;_x000D_
                &lt;Param name="Index int" /&gt;_x000D_
                &lt;Param name="Cube str" /&gt;_x000D_
                &lt;Param name="User str" /&gt;_x000D_
                &lt;Param name="Address str" /&gt;_x000D_
                &lt;Param name="[AddressDelimiter str]" /&gt;_x000D_
            &lt;/Overload&gt;_x000D_
        &lt;/KeyWord&gt;</t>
  </si>
  <si>
    <t xml:space="preserve">        &lt;KeyWord name="CubeDataReservationRelease" func="yes"&gt;_x000D_
            &lt;Overload retVal="None" descr="40"&gt;_x000D_
                &lt;Param name="Cube str" /&gt;_x000D_
                &lt;Param name="User str" /&gt;_x000D_
                &lt;Param name="Address str" /&gt;_x000D_
                &lt;Param name="[AddressDelimiter str]" /&gt;_x000D_
            &lt;/Overload&gt;_x000D_
        &lt;/KeyWord&gt;</t>
  </si>
  <si>
    <t xml:space="preserve">        &lt;KeyWord name="CubeDataReservationReleaseAll" func="yes"&gt;_x000D_
            &lt;Overload retVal="None" descr="45"&gt;_x000D_
                &lt;Param name="Cube str" /&gt;_x000D_
                &lt;Param name="UserFilter str" /&gt;_x000D_
                &lt;Param name="Address str" /&gt;_x000D_
                &lt;Param name="[AddressDelimiter str]" /&gt;_x000D_
            &lt;/Overload&gt;_x000D_
        &lt;/KeyWord&gt;</t>
  </si>
  <si>
    <t xml:space="preserve">        &lt;KeyWord name="DimensionCreate" func="yes"&gt;_x000D_
            &lt;Overload retVal="None" descr="38"&gt;_x000D_
                &lt;Param name="DimName str" /&gt;_x000D_
            &lt;/Overload&gt;_x000D_
        &lt;/KeyWord&gt;</t>
  </si>
  <si>
    <t xml:space="preserve">        &lt;KeyWord name="DimensionDeleteAllElements" func="yes"&gt;_x000D_
            &lt;Overload retVal="None" descr="54"&gt;_x000D_
                &lt;Param name="DimName str" /&gt;_x000D_
            &lt;/Overload&gt;_x000D_
        &lt;/KeyWord&gt;</t>
  </si>
  <si>
    <t xml:space="preserve">        &lt;KeyWord name="DimensionDestroy" func="yes"&gt;_x000D_
            &lt;Overload retVal="None" descr="56"&gt;_x000D_
                &lt;Param name="DimName str" /&gt;_x000D_
            &lt;/Overload&gt;_x000D_
        &lt;/KeyWord&gt;</t>
  </si>
  <si>
    <t xml:space="preserve">        &lt;KeyWord name="DimensionElementComponentAdd" func="yes"&gt;_x000D_
            &lt;Overload retVal="None" descr="158"&gt;_x000D_
                &lt;Param name="DimName str" /&gt;_x000D_
                &lt;Param name="ConsolidatedElName str" /&gt;_x000D_
                &lt;Param name="ElName str" /&gt;_x000D_
                &lt;Param name="ElWeight int" /&gt;_x000D_
            &lt;/Overload&gt;_x000D_
        &lt;/KeyWord&gt;</t>
  </si>
  <si>
    <t xml:space="preserve">        &lt;KeyWord name="DimensionElementComponentDelete" func="yes"&gt;_x000D_
            &lt;Overload retVal="None" descr="70"&gt;_x000D_
                &lt;Param name="DimName str" /&gt;_x000D_
                &lt;Param name="ConsolidatedElName str" /&gt;_x000D_
                &lt;Param name="ElName str" /&gt;_x000D_
            &lt;/Overload&gt;_x000D_
        &lt;/KeyWord&gt;</t>
  </si>
  <si>
    <t xml:space="preserve">        &lt;KeyWord name="DimensionElementDelete" func="yes"&gt;_x000D_
            &lt;Overload retVal="None" descr="50"&gt;_x000D_
                &lt;Param name="DimName str" /&gt;_x000D_
                &lt;Param name="ElName str" /&gt;_x000D_
            &lt;/Overload&gt;_x000D_
        &lt;/KeyWord&gt;</t>
  </si>
  <si>
    <t xml:space="preserve">        &lt;KeyWord name="DimensionElementInsert" func="yes"&gt;_x000D_
            &lt;Overload retVal="None" descr="223"&gt;_x000D_
                &lt;Param name="DimName str" /&gt;_x000D_
                &lt;Param name="BeforeElement str" /&gt;_x000D_
                &lt;Param name="ElName str" /&gt;_x000D_
                &lt;Param name="ElType str" /&gt;_x000D_
            &lt;/Overload&gt;_x000D_
        &lt;/KeyWord&gt;</t>
  </si>
  <si>
    <t xml:space="preserve">        &lt;KeyWord name="DimensionElementPrincipalName" func="yes"&gt;_x000D_
            &lt;Overload retVal="String" descr="72"&gt;_x000D_
                &lt;Param name="DimName str" /&gt;_x000D_
                &lt;Param name="ElName str" /&gt;_x000D_
            &lt;/Overload&gt;_x000D_
        &lt;/KeyWord&gt;</t>
  </si>
  <si>
    <t xml:space="preserve">        &lt;KeyWord name="DimensionExists" func="yes"&gt;_x000D_
            &lt;Overload retVal="Bit" descr="64"&gt;_x000D_
                &lt;Param name="DimName str" /&gt;_x000D_
            &lt;/Overload&gt;_x000D_
        &lt;/KeyWord&gt;</t>
  </si>
  <si>
    <t xml:space="preserve">        &lt;KeyWord name="DimensionSortOrder" func="yes"&gt;_x000D_
            &lt;Overload retVal="None" descr="127"&gt;_x000D_
                &lt;Param name="DimName str" /&gt;_x000D_
                &lt;Param name="CompSortType str" /&gt;_x000D_
                &lt;Param name="CompSortSense str" /&gt;_x000D_
                &lt;Param name="ElSortType str" /&gt;_x000D_
                &lt;Param name="ElSortSense str" /&gt;_x000D_
            &lt;/Overload&gt;_x000D_
        &lt;/KeyWord&gt;</t>
  </si>
  <si>
    <t xml:space="preserve">        &lt;KeyWord name="ODBCClose" func="yes"&gt;_x000D_
            &lt;Overload retVal="None" descr="57"&gt;_x000D_
                &lt;Param name="Source str" /&gt;_x000D_
            &lt;/Overload&gt;_x000D_
        &lt;/KeyWord&gt;</t>
  </si>
  <si>
    <t xml:space="preserve">        &lt;KeyWord name="ODBCOpen" func="yes"&gt;_x000D_
            &lt;Overload retVal="None" descr="51"&gt;_x000D_
                &lt;Param name="Source str" /&gt;_x000D_
                &lt;Param name="ClientName str" /&gt;_x000D_
                &lt;Param name="Password str" /&gt;_x000D_
            &lt;/Overload&gt;_x000D_
        &lt;/KeyWord&gt;</t>
  </si>
  <si>
    <t xml:space="preserve">        &lt;KeyWord name="ODBCOpenEx" func="yes"&gt;_x000D_
            &lt;Overload retVal="None" descr="123"&gt;_x000D_
                &lt;Param name="Source str" /&gt;_x000D_
                &lt;Param name="ClientName str" /&gt;_x000D_
                &lt;Param name="Password str" /&gt;_x000D_
                &lt;Param name="UseUnicodeODBC bit" /&gt;_x000D_
            &lt;/Overload&gt;_x000D_
        &lt;/KeyWord&gt;</t>
  </si>
  <si>
    <t xml:space="preserve">        &lt;KeyWord name="ODBCOutput" func="yes"&gt;_x000D_
            &lt;Overload retVal="None" descr="76"&gt;_x000D_
                &lt;Param name="Source str" /&gt;_x000D_
                &lt;Param name="SQLQuery str" /&gt;_x000D_
                &lt;Param name="[SQLQuery2 str" /&gt;_x000D_
                &lt;Param name="SQLQuery3 str" /&gt;_x000D_
                &lt;Param name="… str]" /&gt;_x000D_
            &lt;/Overload&gt;_x000D_
        &lt;/KeyWord&gt;</t>
  </si>
  <si>
    <t xml:space="preserve">        &lt;KeyWord name="SetODBCUnicodeInterface" func="yes"&gt;_x000D_
            &lt;Overload retVal="None" descr="133"&gt;_x000D_
                &lt;Param name="Flag bit" /&gt;_x000D_
            &lt;/Overload&gt;_x000D_
        &lt;/KeyWord&gt;</t>
  </si>
  <si>
    <t xml:space="preserve">        &lt;KeyWord name="Else" /&gt;</t>
  </si>
  <si>
    <t xml:space="preserve">        &lt;KeyWord name="ElseIf" func="yes"&gt;_x000D_
            &lt;Overload retVal="None" descr="85"&gt;_x000D_
                &lt;Param name="Statement expr" /&gt;_x000D_
            &lt;/Overload&gt;_x000D_
        &lt;/KeyWord&gt;</t>
  </si>
  <si>
    <t xml:space="preserve">        &lt;KeyWord name="ExecuteCommand" func="yes"&gt;_x000D_
            &lt;Overload retVal="None" descr="131"&gt;_x000D_
                &lt;Param name="CommandLine str" /&gt;_x000D_
                &lt;Param name="Wait bit" /&gt;_x000D_
            &lt;/Overload&gt;_x000D_
        &lt;/KeyWord&gt;</t>
  </si>
  <si>
    <t xml:space="preserve">        &lt;KeyWord name="ExecuteProcess" func="yes"&gt;_x000D_
            &lt;Overload retVal="Number" descr="85"&gt;_x000D_
                &lt;Param name="ProcessName str" /&gt;_x000D_
                &lt;Param name="[ParamName1 str" /&gt;_x000D_
                &lt;Param name="ParamValue1 var" /&gt;_x000D_
                &lt;Param name="ParamName2 str" /&gt;_x000D_
                &lt;Param name="ParamValue2 var]" /&gt;_x000D_
            &lt;/Overload&gt;_x000D_
        &lt;/KeyWord&gt;</t>
  </si>
  <si>
    <t xml:space="preserve">        &lt;KeyWord name="GetProcessErrorFileDirectory" func="yes"&gt;_x000D_
            &lt;Overload retVal="String" descr="254"&gt;_x000D_
            &lt;/Overload&gt;_x000D_
        &lt;/KeyWord&gt;</t>
  </si>
  <si>
    <t xml:space="preserve">        &lt;KeyWord name="GetProcessErrorFilename" func="yes"&gt;_x000D_
            &lt;Overload retVal="String" descr="205"&gt;_x000D_
            &lt;/Overload&gt;_x000D_
        &lt;/KeyWord&gt;</t>
  </si>
  <si>
    <t xml:space="preserve">        &lt;KeyWord name="GetProcessName" func="yes"&gt;_x000D_
            &lt;Overload retVal="String" descr="66"&gt;_x000D_
            &lt;/Overload&gt;_x000D_
        &lt;/KeyWord&gt;</t>
  </si>
  <si>
    <t xml:space="preserve">        &lt;KeyWord name="ItemReject" func="yes"&gt;_x000D_
            &lt;Overload retVal="None" descr="107"&gt;_x000D_
                &lt;Param name="ErrorString str" /&gt;_x000D_
            &lt;/Overload&gt;_x000D_
        &lt;/KeyWord&gt;</t>
  </si>
  <si>
    <t xml:space="preserve">        &lt;KeyWord name="ItemSkip" /&gt;</t>
  </si>
  <si>
    <t xml:space="preserve">        &lt;KeyWord name="ProcessBreak" /&gt;</t>
  </si>
  <si>
    <t xml:space="preserve">        &lt;KeyWord name="ProcessError" /&gt;</t>
  </si>
  <si>
    <t xml:space="preserve">        &lt;KeyWord name="ProcessQuit" /&gt;</t>
  </si>
  <si>
    <t xml:space="preserve">        &lt;KeyWord name="Synchronized" func="yes"&gt;_x000D_
            &lt;Overload retVal="None" descr="246"&gt;_x000D_
                &lt;Param name="LockName str" /&gt;_x000D_
            &lt;/Overload&gt;_x000D_
        &lt;/KeyWord&gt;</t>
  </si>
  <si>
    <t xml:space="preserve">        &lt;KeyWord name="CubeProcessFeeders" func="yes"&gt;_x000D_
            &lt;Overload retVal="None" descr="72"&gt;_x000D_
                &lt;Param name="Cube str" /&gt;_x000D_
            &lt;/Overload&gt;_x000D_
        &lt;/KeyWord&gt;</t>
  </si>
  <si>
    <t xml:space="preserve">        &lt;KeyWord name="DeleteAllPersistentFeeders" /&gt;</t>
  </si>
  <si>
    <t xml:space="preserve">        &lt;KeyWord name="ForceSkipCheck" /&gt;</t>
  </si>
  <si>
    <t xml:space="preserve">        &lt;KeyWord name="RuleLoadFromFile" func="yes"&gt;_x000D_
            &lt;Overload retVal="None" descr="71"&gt;_x000D_
                &lt;Param name="Cube str" /&gt;_x000D_
                &lt;Param name="TextFile str" /&gt;_x000D_
            &lt;/Overload&gt;_x000D_
        &lt;/KeyWord&gt;</t>
  </si>
  <si>
    <t xml:space="preserve">        &lt;KeyWord name="GetUseActiveSandboxProperty" func="yes"&gt;_x000D_
            &lt;Overload retVal="Bit" descr="208"&gt;_x000D_
            &lt;/Overload&gt;_x000D_
        &lt;/KeyWord&gt;</t>
  </si>
  <si>
    <t xml:space="preserve">        &lt;KeyWord name="ServerActiveSandboxGet" func="yes"&gt;_x000D_
            &lt;Overload retVal="String" descr="302"&gt;_x000D_
            &lt;/Overload&gt;_x000D_
        &lt;/KeyWord&gt;</t>
  </si>
  <si>
    <t xml:space="preserve">        &lt;KeyWord name="ServerActiveSandboxSet" func="yes"&gt;_x000D_
            &lt;Overload retVal="None" descr="391"&gt;_x000D_
                &lt;Param name="SandboxName str" /&gt;_x000D_
            &lt;/Overload&gt;_x000D_
        &lt;/KeyWord&gt;</t>
  </si>
  <si>
    <t xml:space="preserve">        &lt;KeyWord name="ServerSandboxesDelete" func="yes"&gt;_x000D_
            &lt;Overload retVal="Bit" descr="98"&gt;_x000D_
                &lt;Param name="Predicates str" /&gt;_x000D_
                &lt;Param name="PredicateDelimiter str" /&gt;_x000D_
                &lt;Param name="PredicateListDelimiter str" /&gt;_x000D_
            &lt;/Overload&gt;_x000D_
        &lt;/KeyWord&gt;</t>
  </si>
  <si>
    <t xml:space="preserve">        &lt;KeyWord name="SetUseActiveSandboxProperty" func="yes"&gt;_x000D_
            &lt;Overload retVal="None" descr="183"&gt;_x000D_
                &lt;Param name="PropertyValue bit" /&gt;_x000D_
            &lt;/Overload&gt;_x000D_
        &lt;/KeyWord&gt;</t>
  </si>
  <si>
    <t xml:space="preserve">        &lt;KeyWord name="AddClient" func="yes"&gt;_x000D_
            &lt;Overload retVal="None" descr="49"&gt;_x000D_
                &lt;Param name="ClientName str" /&gt;_x000D_
            &lt;/Overload&gt;_x000D_
        &lt;/KeyWord&gt;</t>
  </si>
  <si>
    <t xml:space="preserve">        &lt;KeyWord name="AddGroup" func="yes"&gt;_x000D_
            &lt;Overload retVal="None" descr="53"&gt;_x000D_
                &lt;Param name="GroupName str" /&gt;_x000D_
            &lt;/Overload&gt;_x000D_
        &lt;/KeyWord&gt;</t>
  </si>
  <si>
    <t xml:space="preserve">        &lt;KeyWord name="AssignClientPassword" func="yes"&gt;_x000D_
            &lt;Overload retVal="Bit" descr="67"&gt;_x000D_
                &lt;Param name="ClientName str" /&gt;_x000D_
                &lt;Param name="Password str" /&gt;_x000D_
            &lt;/Overload&gt;_x000D_
        &lt;/KeyWord&gt;</t>
  </si>
  <si>
    <t xml:space="preserve">        &lt;KeyWord name="AssignClientToGroup" func="yes"&gt;_x000D_
            &lt;Overload retVal="None" descr="79"&gt;_x000D_
                &lt;Param name="ClientName str" /&gt;_x000D_
                &lt;Param name="GroupName str" /&gt;_x000D_
            &lt;/Overload&gt;_x000D_
        &lt;/KeyWord&gt;</t>
  </si>
  <si>
    <t xml:space="preserve">        &lt;KeyWord name="DeleteClient" func="yes"&gt;_x000D_
            &lt;Overload retVal="None" descr="47"&gt;_x000D_
                &lt;Param name="ClientName str" /&gt;_x000D_
            &lt;/Overload&gt;_x000D_
        &lt;/KeyWord&gt;</t>
  </si>
  <si>
    <t xml:space="preserve">        &lt;KeyWord name="DeleteGroup" func="yes"&gt;_x000D_
            &lt;Overload retVal="None" descr="51"&gt;_x000D_
                &lt;Param name="GroupName str" /&gt;_x000D_
            &lt;/Overload&gt;_x000D_
        &lt;/KeyWord&gt;</t>
  </si>
  <si>
    <t xml:space="preserve">        &lt;KeyWord name="ElementSecurityGet" func="yes"&gt;_x000D_
            &lt;Overload retVal="String" descr="97"&gt;_x000D_
                &lt;Param name="DimName str" /&gt;_x000D_
                &lt;Param name="ElName str" /&gt;_x000D_
                &lt;Param name="Group str" /&gt;_x000D_
            &lt;/Overload&gt;_x000D_
        &lt;/KeyWord&gt;</t>
  </si>
  <si>
    <t xml:space="preserve">        &lt;KeyWord name="ElementSecurityPut" func="yes"&gt;_x000D_
            &lt;Overload retVal="None" descr="84"&gt;_x000D_
                &lt;Param name="Level str" /&gt;_x000D_
                &lt;Param name="DimName str" /&gt;_x000D_
                &lt;Param name="ElName str" /&gt;_x000D_
                &lt;Param name="Group str" /&gt;_x000D_
            &lt;/Overload&gt;_x000D_
        &lt;/KeyWord&gt;</t>
  </si>
  <si>
    <t xml:space="preserve">        &lt;KeyWord name="RemoveClientFromGroup" func="yes"&gt;_x000D_
            &lt;Overload retVal="None" descr="59"&gt;_x000D_
                &lt;Param name="ClientName str" /&gt;_x000D_
                &lt;Param name="GroupName str" /&gt;_x000D_
            &lt;/Overload&gt;_x000D_
        &lt;/KeyWord&gt;</t>
  </si>
  <si>
    <t xml:space="preserve">        &lt;KeyWord name="SecurityRefresh" /&gt;</t>
  </si>
  <si>
    <t xml:space="preserve">        &lt;KeyWord name="BatchUpdateFinish" func="yes"&gt;_x000D_
            &lt;Overload retVal="None" descr="61"&gt;_x000D_
                &lt;Param name="SaveChanges bit" /&gt;_x000D_
            &lt;/Overload&gt;_x000D_
        &lt;/KeyWord&gt;</t>
  </si>
  <si>
    <t xml:space="preserve">        &lt;KeyWord name="BatchUpdateFinishWait" func="yes"&gt;_x000D_
            &lt;Overload retVal="None" descr="381"&gt;_x000D_
                &lt;Param name="SaveChanges bit" /&gt;_x000D_
            &lt;/Overload&gt;_x000D_
        &lt;/KeyWord&gt;</t>
  </si>
  <si>
    <t xml:space="preserve">        &lt;KeyWord name="BatchUpdateStart" /&gt;</t>
  </si>
  <si>
    <t xml:space="preserve">        &lt;KeyWord name="DisableBulkLoadMode" /&gt;</t>
  </si>
  <si>
    <t xml:space="preserve">        &lt;KeyWord name="EnableBulkLoadMode" /&gt;</t>
  </si>
  <si>
    <t xml:space="preserve">        &lt;KeyWord name="SaveDataAll" /&gt;</t>
  </si>
  <si>
    <t xml:space="preserve">        &lt;KeyWord name="ServerShutDown" /&gt;</t>
  </si>
  <si>
    <t xml:space="preserve">        &lt;KeyWord name="SubsetAliasSet" func="yes"&gt;_x000D_
            &lt;Overload retVal="Bit" descr="115"&gt;_x000D_
                &lt;Param name="DimName str" /&gt;_x000D_
                &lt;Param name="SubName str" /&gt;_x000D_
                &lt;Param name="AliasName str" /&gt;_x000D_
            &lt;/Overload&gt;_x000D_
        &lt;/KeyWord&gt;</t>
  </si>
  <si>
    <t xml:space="preserve">        &lt;KeyWord name="SubsetCreate" func="yes"&gt;_x000D_
            &lt;Overload retVal="None" descr="70"&gt;_x000D_
                &lt;Param name="DimName str" /&gt;_x000D_
                &lt;Param name="SubName str" /&gt;_x000D_
            &lt;/Overload&gt;_x000D_
        &lt;/KeyWord&gt;</t>
  </si>
  <si>
    <t xml:space="preserve">        &lt;KeyWord name="SubsetCreatebyMDX" func="yes"&gt;_x000D_
            &lt;Overload retVal="None" descr="71"&gt;_x000D_
                &lt;Param name="SubName str" /&gt;_x000D_
                &lt;Param name="MDX_Expression str" /&gt;_x000D_
            &lt;/Overload&gt;_x000D_
        &lt;/KeyWord&gt;</t>
  </si>
  <si>
    <t xml:space="preserve">        &lt;KeyWord name="SubsetDeleteAllElements" func="yes"&gt;_x000D_
            &lt;Overload retVal="None" descr="56"&gt;_x000D_
                &lt;Param name="DimName str" /&gt;_x000D_
                &lt;Param name="SubsetName str" /&gt;_x000D_
            &lt;/Overload&gt;_x000D_
        &lt;/KeyWord&gt;</t>
  </si>
  <si>
    <t xml:space="preserve">        &lt;KeyWord name="SubsetDestroy" func="yes"&gt;_x000D_
            &lt;Overload retVal="None" descr="53"&gt;_x000D_
                &lt;Param name="DimName str" /&gt;_x000D_
                &lt;Param name="SubsetName str" /&gt;_x000D_
            &lt;/Overload&gt;_x000D_
        &lt;/KeyWord&gt;</t>
  </si>
  <si>
    <t xml:space="preserve">        &lt;KeyWord name="SubsetElementDelete" func="yes"&gt;_x000D_
            &lt;Overload retVal="None" descr="47"&gt;_x000D_
                &lt;Param name="DimName str" /&gt;_x000D_
                &lt;Param name="SubsetName str" /&gt;_x000D_
                &lt;Param name="Index int" /&gt;_x000D_
            &lt;/Overload&gt;_x000D_
        &lt;/KeyWord&gt;</t>
  </si>
  <si>
    <t xml:space="preserve">        &lt;KeyWord name="SubsetElementInsert" func="yes"&gt;_x000D_
            &lt;Overload retVal="None" descr="52"&gt;_x000D_
                &lt;Param name="DimName str" /&gt;_x000D_
                &lt;Param name="SubsetName str" /&gt;_x000D_
                &lt;Param name="ElName str" /&gt;_x000D_
                &lt;Param name="Position int" /&gt;_x000D_
            &lt;/Overload&gt;_x000D_
        &lt;/KeyWord&gt;</t>
  </si>
  <si>
    <t xml:space="preserve">        &lt;KeyWord name="SubsetExists" func="yes"&gt;_x000D_
            &lt;Overload retVal="Bit" descr="65"&gt;_x000D_
                &lt;Param name="DimName str" /&gt;_x000D_
                &lt;Param name="SubsetName str" /&gt;_x000D_
            &lt;/Overload&gt;_x000D_
        &lt;/KeyWord&gt;</t>
  </si>
  <si>
    <t xml:space="preserve">        &lt;KeyWord name="SubsetExpandAboveSet" func="yes"&gt;_x000D_
            &lt;Overload retVal="None" descr="284"&gt;_x000D_
                &lt;Param name="DimName str" /&gt;_x000D_
                &lt;Param name="SubsetName str" /&gt;_x000D_
                &lt;Param name="ExpandAboveFlag bit" /&gt;_x000D_
            &lt;/Overload&gt;_x000D_
        &lt;/KeyWord&gt;</t>
  </si>
  <si>
    <t xml:space="preserve">        &lt;KeyWord name="SubsetFormatStyleSet" func="yes"&gt;_x000D_
            &lt;Overload retVal="None" descr="278"&gt;_x000D_
                &lt;Param name="DimName str" /&gt;_x000D_
                &lt;Param name="SubsetName str" /&gt;_x000D_
                &lt;Param name="FormatName str" /&gt;_x000D_
            &lt;/Overload&gt;_x000D_
        &lt;/KeyWord&gt;</t>
  </si>
  <si>
    <t xml:space="preserve">        &lt;KeyWord name="SubsetGetElementName" func="yes"&gt;_x000D_
            &lt;Overload retVal="String" descr="98"&gt;_x000D_
                &lt;Param name="DimName str" /&gt;_x000D_
                &lt;Param name="SubsetName str" /&gt;_x000D_
                &lt;Param name="ElementIndex int" /&gt;_x000D_
            &lt;/Overload&gt;_x000D_
        &lt;/KeyWord&gt;</t>
  </si>
  <si>
    <t xml:space="preserve">        &lt;KeyWord name="SubsetGetSize" func="yes"&gt;_x000D_
            &lt;Overload retVal="Int" descr="57"&gt;_x000D_
                &lt;Param name="DimName str" /&gt;_x000D_
                &lt;Param name="SubsetName str" /&gt;_x000D_
            &lt;/Overload&gt;_x000D_
        &lt;/KeyWord&gt;</t>
  </si>
  <si>
    <t xml:space="preserve">        &lt;KeyWord name="SubsetIsAllSet" func="yes"&gt;_x000D_
            &lt;Overload retVal="Bit" descr="72"&gt;_x000D_
                &lt;Param name="DimName str" /&gt;_x000D_
                &lt;Param name="SubsetName str" /&gt;_x000D_
                &lt;Param name="Flag bit" /&gt;_x000D_
            &lt;/Overload&gt;_x000D_
        &lt;/KeyWord&gt;</t>
  </si>
  <si>
    <t xml:space="preserve">        &lt;KeyWord name="PublishView" func="yes"&gt;_x000D_
            &lt;Overload retVal="None" descr="59"&gt;_x000D_
                &lt;Param name="Cube str" /&gt;_x000D_
                &lt;Param name="View str" /&gt;_x000D_
                &lt;Param name="PublishPrivateSubsets bit" /&gt;_x000D_
                &lt;Param name="OverwriteExistingView bit" /&gt;_x000D_
            &lt;/Overload&gt;_x000D_
        &lt;/KeyWord&gt;</t>
  </si>
  <si>
    <t xml:space="preserve">        &lt;KeyWord name="ViewColumnDimensionSet" func="yes"&gt;_x000D_
            &lt;Overload retVal="None" descr="53"&gt;_x000D_
                &lt;Param name="CubeName str" /&gt;_x000D_
                &lt;Param name="ViewName str" /&gt;_x000D_
                &lt;Param name="DimName str" /&gt;_x000D_
                &lt;Param name="StackPosition int" /&gt;_x000D_
            &lt;/Overload&gt;_x000D_
        &lt;/KeyWord&gt;</t>
  </si>
  <si>
    <t xml:space="preserve">        &lt;KeyWord name="ViewColumnSuppressZeroesSet" func="yes"&gt;_x000D_
            &lt;Overload retVal="None" descr="106"&gt;_x000D_
                &lt;Param name="CubeName str" /&gt;_x000D_
                &lt;Param name="ViewName str" /&gt;_x000D_
                &lt;Param name="Flag bit" /&gt;_x000D_
            &lt;/Overload&gt;_x000D_
        &lt;/KeyWord&gt;</t>
  </si>
  <si>
    <t xml:space="preserve">        &lt;KeyWord name="ViewConstruct" func="yes"&gt;_x000D_
            &lt;Overload retVal="None" descr="91"&gt;_x000D_
                &lt;Param name="CubeName str" /&gt;_x000D_
                &lt;Param name="ViewName str" /&gt;_x000D_
            &lt;/Overload&gt;_x000D_
        &lt;/KeyWord&gt;</t>
  </si>
  <si>
    <t xml:space="preserve">        &lt;KeyWord name="ViewCreate" func="yes"&gt;_x000D_
            &lt;Overload retVal="None" descr="56"&gt;_x000D_
                &lt;Param name="CubeName str" /&gt;_x000D_
                &lt;Param name="ViewName str" /&gt;_x000D_
            &lt;/Overload&gt;_x000D_
        &lt;/KeyWord&gt;</t>
  </si>
  <si>
    <t xml:space="preserve">        &lt;KeyWord name="ViewDestroy" func="yes"&gt;_x000D_
            &lt;Overload retVal="None" descr="51"&gt;_x000D_
                &lt;Param name="CubeName str" /&gt;_x000D_
                &lt;Param name="ViewName str" /&gt;_x000D_
            &lt;/Overload&gt;_x000D_
        &lt;/KeyWord&gt;</t>
  </si>
  <si>
    <t xml:space="preserve">        &lt;KeyWord name="ViewExists" func="yes"&gt;_x000D_
            &lt;Overload retVal="Bit" descr="61"&gt;_x000D_
                &lt;Param name="CubeName str" /&gt;_x000D_
                &lt;Param name="ViewName str" /&gt;_x000D_
            &lt;/Overload&gt;_x000D_
        &lt;/KeyWord&gt;</t>
  </si>
  <si>
    <t xml:space="preserve">        &lt;KeyWord name="ViewExtractSkipCalcsSet" func="yes"&gt;_x000D_
            &lt;Overload retVal="None" descr="165"&gt;_x000D_
                &lt;Param name="CubeName str" /&gt;_x000D_
                &lt;Param name="ViewName str" /&gt;_x000D_
                &lt;Param name="Flag bit" /&gt;_x000D_
            &lt;/Overload&gt;_x000D_
        &lt;/KeyWord&gt;</t>
  </si>
  <si>
    <t xml:space="preserve">        &lt;KeyWord name="ViewExtractSkipRuleValuesSet" func="yes"&gt;_x000D_
            &lt;Overload retVal="None" descr="168"&gt;_x000D_
                &lt;Param name="CubeName str" /&gt;_x000D_
                &lt;Param name="ViewName str" /&gt;_x000D_
                &lt;Param name="Flag bit" /&gt;_x000D_
            &lt;/Overload&gt;_x000D_
        &lt;/KeyWord&gt;</t>
  </si>
  <si>
    <t xml:space="preserve">        &lt;KeyWord name="ViewExtractSkipZeroesSet" func="yes"&gt;_x000D_
            &lt;Overload retVal="None" descr="157"&gt;_x000D_
                &lt;Param name="CubeName str" /&gt;_x000D_
                &lt;Param name="ViewName str" /&gt;_x000D_
                &lt;Param name="Flag bit" /&gt;_x000D_
            &lt;/Overload&gt;_x000D_
        &lt;/KeyWord&gt;</t>
  </si>
  <si>
    <t xml:space="preserve">        &lt;KeyWord name="ViewRowDimensionSet" func="yes"&gt;_x000D_
            &lt;Overload retVal="None" descr="50"&gt;_x000D_
                &lt;Param name="CubeName str" /&gt;_x000D_
                &lt;Param name="ViewName str" /&gt;_x000D_
                &lt;Param name="DimName str" /&gt;_x000D_
                &lt;Param name="StackPosition int" /&gt;_x000D_
            &lt;/Overload&gt;_x000D_
        &lt;/KeyWord&gt;</t>
  </si>
  <si>
    <t xml:space="preserve">        &lt;KeyWord name="ViewRowSuppressZeroesSet" func="yes"&gt;_x000D_
            &lt;Overload retVal="None" descr="103"&gt;_x000D_
                &lt;Param name="CubeName str" /&gt;_x000D_
                &lt;Param name="ViewName str" /&gt;_x000D_
                &lt;Param name="Flag bit" /&gt;_x000D_
            &lt;/Overload&gt;_x000D_
        &lt;/KeyWord&gt;</t>
  </si>
  <si>
    <t xml:space="preserve">        &lt;KeyWord name="ViewSubsetAssign" func="yes"&gt;_x000D_
            &lt;Overload retVal="None" descr="52"&gt;_x000D_
                &lt;Param name="CubeName str" /&gt;_x000D_
                &lt;Param name="ViewName str" /&gt;_x000D_
                &lt;Param name="DimName str" /&gt;_x000D_
                &lt;Param name="SubName str" /&gt;_x000D_
            &lt;/Overload&gt;_x000D_
        &lt;/KeyWord&gt;</t>
  </si>
  <si>
    <t xml:space="preserve">        &lt;KeyWord name="ViewSuppressZeroesSet" func="yes"&gt;_x000D_
            &lt;Overload retVal="None" descr="119"&gt;_x000D_
                &lt;Param name="CubeName str" /&gt;_x000D_
                &lt;Param name="ViewName str" /&gt;_x000D_
                &lt;Param name="Flag bit" /&gt;_x000D_
            &lt;/Overload&gt;_x000D_
        &lt;/KeyWord&gt;</t>
  </si>
  <si>
    <t xml:space="preserve">        &lt;KeyWord name="ViewTitleDimensionSet" func="yes"&gt;_x000D_
            &lt;Overload retVal="None" descr="52"&gt;_x000D_
                &lt;Param name="CubeName str" /&gt;_x000D_
                &lt;Param name="ViewName str" /&gt;_x000D_
                &lt;Param name="DimName str" /&gt;_x000D_
            &lt;/Overload&gt;_x000D_
        &lt;/KeyWord&gt;</t>
  </si>
  <si>
    <t xml:space="preserve">        &lt;KeyWord name="ViewTitleElementSet" func="yes"&gt;_x000D_
            &lt;Overload retVal="None" descr="134"&gt;_x000D_
                &lt;Param name="CubeName str" /&gt;_x000D_
                &lt;Param name="ViewName str" /&gt;_x000D_
                &lt;Param name="DimName str" /&gt;_x000D_
                &lt;Param name="Index int" /&gt;_x000D_
            &lt;/Overload&gt;_x000D_
        &lt;/KeyWord&gt;</t>
  </si>
  <si>
    <t xml:space="preserve">        &lt;KeyWord name="ViewZeroOut" func="yes"&gt;_x000D_
            &lt;Overload retVal="None" descr="53"&gt;_x000D_
                &lt;Param name="CubeName str" /&gt;_x000D_
                &lt;Param name="ViewName str" /&gt;_x000D_
            &lt;/Overload&gt;_x000D_
        &lt;/KeyWord&gt;</t>
  </si>
  <si>
    <t xml:space="preserve">        &lt;KeyWord name="AddInfoCubeRestriction" func="yes"&gt;_x000D_
            &lt;Overload retVal="None" descr="77"&gt;_x000D_
                &lt;Param name="CharactName str" /&gt;_x000D_
                &lt;Param name="Sign char" /&gt;_x000D_
                &lt;Param name="compOperator str" /&gt;_x000D_
                &lt;Param name="lowValue str" /&gt;_x000D_
                &lt;Param name="highValue str" /&gt;_x000D_
            &lt;/Overload&gt;_x000D_
        &lt;/KeyWord&gt;</t>
  </si>
  <si>
    <t xml:space="preserve">        &lt;KeyWord name="DataSourceSAPUsingRoleAuths" func="yes"&gt;_x000D_
            &lt;Overload retVal="None" descr="178"&gt;_x000D_
                &lt;Param name="Flag bit" /&gt;_x000D_
            &lt;/Overload&gt;_x000D_
        &lt;/KeyWord&gt;</t>
  </si>
  <si>
    <t xml:space="preserve">        &lt;KeyWord name="DataSourceSAPUsingTexts" func="yes"&gt;_x000D_
            &lt;Overload retVal="None" descr="261"&gt;_x000D_
                &lt;Param name="Flag bit" /&gt;_x000D_
            &lt;/Overload&gt;_x000D_
        &lt;/KeyWord&gt;</t>
  </si>
  <si>
    <t xml:space="preserve">        &lt;KeyWord name="Expand" func="yes"&gt;_x000D_
            &lt;Overload retVal="None" descr="236"&gt;_x000D_
                &lt;Param name="String str" /&gt;_x000D_
            &lt;/Overload&gt;_x000D_
        &lt;/KeyWord&gt;</t>
  </si>
  <si>
    <t xml:space="preserve">        &lt;KeyWord name="FileExists" func="yes"&gt;_x000D_
            &lt;Overload retVal="Bit" descr="52"&gt;_x000D_
                &lt;Param name="FileName str" /&gt;_x000D_
            &lt;/Overload&gt;_x000D_
        &lt;/KeyWord&gt;</t>
  </si>
  <si>
    <t xml:space="preserve">        &lt;KeyWord name="NumberToString" func="yes"&gt;_x000D_
            &lt;Overload retVal="String" descr="168"&gt;_x000D_
                &lt;Param name="Value int" /&gt;_x000D_
            &lt;/Overload&gt;_x000D_
        &lt;/KeyWord&gt;</t>
  </si>
  <si>
    <t xml:space="preserve">        &lt;KeyWord name="NumberToStringEx" func="yes"&gt;_x000D_
            &lt;Overload retVal="String" descr="120"&gt;_x000D_
                &lt;Param name="Value int" /&gt;_x000D_
                &lt;Param name="DecimalSep str" /&gt;_x000D_
                &lt;Param name="ThousandsSep str" /&gt;_x000D_
            &lt;/Overload&gt;_x000D_
        &lt;/KeyWord&gt;</t>
  </si>
  <si>
    <t xml:space="preserve">        &lt;KeyWord name="RefreshMdxHierarchy" func="yes"&gt;_x000D_
            &lt;Overload retVal="None" descr="285"&gt;_x000D_
                &lt;Param name="DimensionName str" /&gt;_x000D_
            &lt;/Overload&gt;_x000D_
        &lt;/KeyWord&gt;</t>
  </si>
  <si>
    <t xml:space="preserve">        &lt;KeyWord name="StringToNumber" func="yes"&gt;_x000D_
            &lt;Overload retVal="Number" descr="168"&gt;_x000D_
                &lt;Param name="Value str" /&gt;_x000D_
            &lt;/Overload&gt;_x000D_
        &lt;/KeyWord&gt;</t>
  </si>
  <si>
    <t xml:space="preserve">        &lt;KeyWord name="StringToNumberEx" func="yes"&gt;_x000D_
            &lt;Overload retVal="Number" descr="104"&gt;_x000D_
                &lt;Param name="Value str" /&gt;_x000D_
                &lt;Param name="DecimalSep str" /&gt;_x000D_
                &lt;Param name="ThousandsSep str" /&gt;_x000D_
            &lt;/Overload&gt;_x000D_
        &lt;/KeyWord&gt;</t>
  </si>
  <si>
    <t xml:space="preserve">        &lt;KeyWord name="TM1User" func="yes"&gt;_x000D_
            &lt;Overload retVal="String" descr="387"&gt;_x000D_
            &lt;/Overload&gt;_x000D_
        &lt;/KeyWord&gt;</t>
  </si>
  <si>
    <t xml:space="preserve">        &lt;KeyWord name="WildcardFileSearch" func="yes"&gt;_x000D_
            &lt;Overload retVal="String" descr="92"&gt;_x000D_
                &lt;Param name="Pathname str" /&gt;_x000D_
                &lt;Param name="PriorFilename str" /&gt;_x000D_
            &lt;/Overload&gt;_x000D_
        &lt;/KeyWord&gt;</t>
  </si>
  <si>
    <t xml:space="preserve">        &lt;KeyWord name="DatasourceASCIIDecimalSeparator" func="yes"&gt;_x000D_
            &lt;Overload retVal="None" descr="230"&gt;_x000D_
                &lt;Param name="Character str" /&gt;_x000D_
            &lt;/Overload&gt;_x000D_
        &lt;/KeyWord&gt;</t>
  </si>
  <si>
    <t xml:space="preserve">        &lt;KeyWord name="DatasourceASCIIDelimiter" func="yes"&gt;_x000D_
            &lt;Overload retVal="None" descr="141"&gt;_x000D_
                &lt;Param name="Character str" /&gt;_x000D_
            &lt;/Overload&gt;_x000D_
        &lt;/KeyWord&gt;</t>
  </si>
  <si>
    <t xml:space="preserve">        &lt;KeyWord name="DatasourceASCIIHeaderRecords" func="yes"&gt;_x000D_
            &lt;Overload retVal="None" descr="88"&gt;_x000D_
                &lt;Param name="N int" /&gt;_x000D_
            &lt;/Overload&gt;_x000D_
        &lt;/KeyWord&gt;</t>
  </si>
  <si>
    <t xml:space="preserve">        &lt;KeyWord name="DatasourceASCIIQuoteCharacter" func="yes"&gt;_x000D_
            &lt;Overload retVal="None" descr="151"&gt;_x000D_
                &lt;Param name="Character str" /&gt;_x000D_
            &lt;/Overload&gt;_x000D_
        &lt;/KeyWord&gt;</t>
  </si>
  <si>
    <t xml:space="preserve">        &lt;KeyWord name="DatasourceASCIIThousandSeparator" func="yes"&gt;_x000D_
            &lt;Overload retVal="None" descr="231"&gt;_x000D_
                &lt;Param name="Character str" /&gt;_x000D_
            &lt;/Overload&gt;_x000D_
        &lt;/KeyWord&gt;</t>
  </si>
  <si>
    <t xml:space="preserve">        &lt;KeyWord name="DatasourceCubeview" func="yes"&gt;_x000D_
            &lt;Overload retVal="None" descr="93"&gt;_x000D_
                &lt;Param name="ViewName str" /&gt;_x000D_
            &lt;/Overload&gt;_x000D_
        &lt;/KeyWord&gt;</t>
  </si>
  <si>
    <t xml:space="preserve">        &lt;KeyWord name="DatasourceDimensionSubset" func="yes"&gt;_x000D_
            &lt;Overload retVal="None" descr="97"&gt;_x000D_
                &lt;Param name="SubsetName str" /&gt;_x000D_
            &lt;/Overload&gt;_x000D_
        &lt;/KeyWord&gt;</t>
  </si>
  <si>
    <t xml:space="preserve">        &lt;KeyWord name="DatasourceNameForClient" func="yes"&gt;_x000D_
            &lt;Overload retVal="None" descr="161"&gt;_x000D_
                &lt;Param name="Name str" /&gt;_x000D_
            &lt;/Overload&gt;_x000D_
        &lt;/KeyWord&gt;</t>
  </si>
  <si>
    <t xml:space="preserve">        &lt;KeyWord name="DatasourceNameForServer" func="yes"&gt;_x000D_
            &lt;Overload retVal="None" descr="151"&gt;_x000D_
                &lt;Param name="Name str" /&gt;_x000D_
            &lt;/Overload&gt;_x000D_
        &lt;/KeyWord&gt;</t>
  </si>
  <si>
    <t xml:space="preserve">        &lt;KeyWord name="DataSourceODBOCatalog" func="yes"&gt;_x000D_
            &lt;Overload retVal="None" descr="226"&gt;_x000D_
                &lt;Param name="Catalog str" /&gt;_x000D_
            &lt;/Overload&gt;_x000D_
        &lt;/KeyWord&gt;</t>
  </si>
  <si>
    <t xml:space="preserve">        &lt;KeyWord name="DataSourceODBOConnectionString" func="yes"&gt;_x000D_
            &lt;Overload retVal="None" descr="129"&gt;_x000D_
                &lt;Param name="String str" /&gt;_x000D_
            &lt;/Overload&gt;_x000D_
        &lt;/KeyWord&gt;</t>
  </si>
  <si>
    <t xml:space="preserve">        &lt;KeyWord name="DataSourceODBOCubeName" func="yes"&gt;_x000D_
            &lt;Overload retVal="None" descr="121"&gt;_x000D_
                &lt;Param name="Name str" /&gt;_x000D_
            &lt;/Overload&gt;_x000D_
        &lt;/KeyWord&gt;</t>
  </si>
  <si>
    <t xml:space="preserve">        &lt;KeyWord name="DataSourceODBOHierarchyName" func="yes"&gt;_x000D_
            &lt;Overload retVal="None" descr="277"&gt;_x000D_
                &lt;Param name="Name str" /&gt;_x000D_
            &lt;/Overload&gt;_x000D_
        &lt;/KeyWord&gt;</t>
  </si>
  <si>
    <t xml:space="preserve">        &lt;KeyWord name="DataSourceODBOLocation" func="yes"&gt;_x000D_
            &lt;Overload retVal="None" descr="227"&gt;_x000D_
                &lt;Param name="Location str" /&gt;_x000D_
            &lt;/Overload&gt;_x000D_
        &lt;/KeyWord&gt;</t>
  </si>
  <si>
    <t xml:space="preserve">        &lt;KeyWord name="DataSourceODBOProvider" func="yes"&gt;_x000D_
            &lt;Overload retVal="None" descr="310"&gt;_x000D_
                &lt;Param name="Provider str" /&gt;_x000D_
            &lt;/Overload&gt;_x000D_
        &lt;/KeyWord&gt;</t>
  </si>
  <si>
    <t xml:space="preserve">        &lt;KeyWord name="DataSourceODBOSAPClientID" func="yes"&gt;_x000D_
            &lt;Overload retVal="None" descr="141"&gt;_x000D_
                &lt;Param name="ID int" /&gt;_x000D_
            &lt;/Overload&gt;_x000D_
        &lt;/KeyWord&gt;</t>
  </si>
  <si>
    <t xml:space="preserve">        &lt;KeyWord name="DataSourceODBOSAPClientLanguage" func="yes"&gt;_x000D_
            &lt;Overload retVal="None" descr="132"&gt;_x000D_
                &lt;Param name="Language str" /&gt;_x000D_
            &lt;/Overload&gt;_x000D_
        &lt;/KeyWord&gt;</t>
  </si>
  <si>
    <t xml:space="preserve">        &lt;KeyWord name="DatasourcePassword" func="yes"&gt;_x000D_
            &lt;Overload retVal="None" descr="89"&gt;_x000D_
                &lt;Param name="Password str" /&gt;_x000D_
            &lt;/Overload&gt;_x000D_
        &lt;/KeyWord&gt;</t>
  </si>
  <si>
    <t xml:space="preserve">        &lt;KeyWord name="DatasourceQuery" func="yes"&gt;_x000D_
            &lt;Overload retVal="None" descr="86"&gt;_x000D_
                &lt;Param name="Query str" /&gt;_x000D_
            &lt;/Overload&gt;_x000D_
        &lt;/KeyWord&gt;</t>
  </si>
  <si>
    <t xml:space="preserve">        &lt;KeyWord name="DatasourceType" func="yes"&gt;_x000D_
            &lt;Overload retVal="None" descr="69"&gt;_x000D_
                &lt;Param name="Type str" /&gt;_x000D_
            &lt;/Overload&gt;_x000D_
        &lt;/KeyWord&gt;</t>
  </si>
  <si>
    <t xml:space="preserve">        &lt;KeyWord name="DatasourceUsername" func="yes"&gt;_x000D_
            &lt;Overload retVal="None" descr="85"&gt;_x000D_
                &lt;Param name="Name str" /&gt;_x000D_
            &lt;/Overload&gt;_x000D_
        &lt;/KeyWord&gt;</t>
  </si>
  <si>
    <t xml:space="preserve">        &lt;KeyWord name="MinorErrorLogMax" func="yes"&gt;_x000D_
            &lt;Overload retVal="None" descr="265"&gt;_x000D_
                &lt;Param name="N int" /&gt;_x000D_
            &lt;/Overload&gt;_x000D_
        &lt;/KeyWord&gt;</t>
  </si>
  <si>
    <t xml:space="preserve">        &lt;KeyWord name="OnMinorErrorDoItemSkip" func="yes"&gt;_x000D_
            &lt;Overload retVal="None" descr="230"&gt;_x000D_
                &lt;Param name="Flag Bit" /&gt;_x000D_
            &lt;/Overload&gt;_x000D_
        &lt;/KeyWord&gt;</t>
  </si>
  <si>
    <t xml:space="preserve">        &lt;KeyWord name="Value_Is_String" func="yes"&gt;_x000D_
            &lt;Overload retVal="Bit" descr="156"&gt;_x000D_
            &lt;/Overload&gt;_x000D_
        &lt;/KeyWord&gt;</t>
  </si>
  <si>
    <t xml:space="preserve">        &lt;KeyWord name="NumericGlobalVariable" func="yes"&gt;_x000D_
            &lt;Overload retVal="None" descr="55"&gt;_x000D_
                &lt;Param name="VariableName int" /&gt;_x000D_
            &lt;/Overload&gt;_x000D_
        &lt;/KeyWord&gt;</t>
  </si>
  <si>
    <t xml:space="preserve">        &lt;KeyWord name="StringGlobalVariable" func="yes"&gt;_x000D_
            &lt;Overload retVal="None" descr="53"&gt;_x000D_
                &lt;Param name="VariableName str" /&gt;_x000D_
            &lt;/Overload&gt;_x000D_
        &lt;/KeyWord&gt;</t>
  </si>
  <si>
    <t xml:space="preserve">        &lt;KeyWord name="MetadataMinorErrorCount" func="yes"&gt;_x000D_
            &lt;Overload retVal="Int" descr="199"&gt;_x000D_
            &lt;/Overload&gt;_x000D_
        &lt;/KeyWord&gt;</t>
  </si>
  <si>
    <t xml:space="preserve">        &lt;KeyWord name="ProcessReturnCode" func="yes"&gt;_x000D_
            &lt;Overload retVal="Int" descr="114"&gt;_x000D_
            &lt;/Overload&gt;_x000D_
        &lt;/KeyWord&gt;</t>
  </si>
  <si>
    <t xml:space="preserve">        &lt;KeyWord name="PrologMinorErrorCount" func="yes"&gt;_x000D_
            &lt;Overload retVal="Int" descr="197"&gt;_x000D_
            &lt;/Overload&gt;_x000D_
        &lt;/KeyWord&gt;</t>
  </si>
  <si>
    <t xml:space="preserve">        &lt;KeyWord name="NumericSessionVariable" func="yes"&gt;_x000D_
            &lt;Overload retVal="None" descr="53"&gt;_x000D_
                &lt;Param name="VariableName int" /&gt;_x000D_
            &lt;/Overload&gt;_x000D_
        &lt;/KeyWord&gt;</t>
  </si>
  <si>
    <t xml:space="preserve">        &lt;KeyWord name="StringSessionVariable" func="yes"&gt;_x000D_
            &lt;Overload retVal="None" descr="51"&gt;_x000D_
                &lt;Param name="VariableName str" /&gt;_x000D_
            &lt;/Overload&gt;_x000D_
        &lt;/KeyWord&gt;</t>
  </si>
  <si>
    <t>ABS ACOS ASIN ATAN ATTRN ATTRS CAPIT CHAR CODE ConsolidateChildren ConsolidatedAvg ConsolidatedCount ConsolidatedMax ConsolidatedMin CONTINUE COS DATE DATES DAY DAYNO DB DELET DIMIX DIMNM DIMSIZ DNEXT DNLEV DTYPE ELCOMP ELCOMPN ELISANC ELISCOMP ELISPAR ELLEV ELPAR ELPARN ELWEIGHT EXP FEEDERS FEEDSTRINGS FILL FV INSRT INT ISLEAF ISUND LN LOG LONG LOWER MAX MIN MOD MONTH NOW NUMBR NValue PAYMT PV RAND ROUND ROUNDP SCAN SIGN SIN SKIPCHECK SQRT STET STR SUBST SValue TABDIM TAN TIME TIMST TIMVL TODAY TRIM UNDEF UNDEFVALS UPPER YEAR</t>
  </si>
  <si>
    <t>ABS ACOS ASIN ATAN ATTRN ATTRS BatchUpdateFinishWait BatchUpdateStart CAPIT CellGetN CellGetS CellIsUpdateable CHAR ChoreQuit CODE ConsolidatedAvg ConsolidatedCount ConsolidatedMax ConsolidatedMin COS CubeDataReservationGet CubeDataReservationGetConflicts CubeExists CubeGetLogChanges CubeProcessFeeders CubeSaveData CubeUnload DatasourceASCIIDecimalSeparator DatasourceASCIIDelimiter DatasourceASCIIHeaderRecords DatasourceASCIIQuoteCharacter DatasourceASCIIThousandSeparator DatasourceCubeview DatasourceDimensionSubset DatasourceNameForClient DatasourceNameForServer DataSourceODBOCatalog DataSourceODBOConnectionString DataSourceODBOCubeName DataSourceODBOHierarchyName DataSourceODBOLocation DataSourceODBOProvider DataSourceODBOSAPClientID DataSourceODBOSAPClientLanguage DatasourcePassword DatasourceQuery DataSourceSAPUsingRoleAuths DataSourceSAPUsingTexts DatasourceType DatasourceUsername DATE DATES DAY DAYNO DELET DeleteAllPersistentFeeders DimensionElementPrincipalName DimensionExists DIMIX DIMNM DIMSIZ DisableBulkLoadMode DNEXT DNLEV DTYPE ELCOMP ELCOMPN ElementSecurityGet ELISANC ELISCOMP ELISPAR ELLEV ELPAR ELPARN Else ElseIf ELWEIGHT EnableBulkLoadMode EXP Expand FileExists FILL ForceSkipCheck FV GetProcessErrorFileDirectory GetProcessErrorFilename GetProcessName GetUseActiveSandboxProperty INSRT INT ISUND ItemReject ItemSkip LN LOG LONG LOWER MAX MetadataMinorErrorCount MIN MinorErrorLogMax MOD MONTH NOW NumberToString NumberToStringEx NUMBR NumericGlobalVariable NumericSessionVariable ODBCClose ODBCOpen ODBCOpenEx OnMinorErrorDoItemSkip PAYMT ProcessBreak ProcessError ProcessQuit ProcessReturnCode PrologMinorErrorCount PV RAND RefreshMdxHierarchy ROUND ROUNDP SaveDataAll SCAN SecurityRefresh ServerActiveSandboxGet SetChoreVerboseMessages SetInputCharacterSet SetODBCUnicodeInterface SetOutputCharacterSet SIGN SIN SQRT STR StringGlobalVariable StringSessionVariable StringToNumber StringToNumberEx SubsetExists SubsetGetElementName SubsetGetSize SubsetIsAllSet SUBST Synchronized TABDIM TAN TextOutput TIME TIMST TIMVL TM1User TODAY TRIM UNDEF UPPER Value_Is_String ViewConstruct ViewExists WildcardFileSearch YEAR</t>
  </si>
  <si>
    <t>AddClient AddCubeDependency AddGroup AddInfoCubeRestriction ASCIIDelete ASCIIOutput AssignClientPassword AssignClientToGroup AttrDelete AttrInsert AttrPutN AttrPutS BatchUpdateFinish CellPutN CellPutProportionalSpread CellPutS CubeClearData CubeCreate CubeDataReservationAcquire CubeDataReservationRelease CubeDataReservationReleaseAll CubeDestroy CubeSetConnParams CubeSetLogChanges DeleteClient DeleteGroup DimensionCreate DimensionDeleteAllElements DimensionDestroy DimensionElementComponentAdd DimensionElementComponentDelete DimensionElementDelete DimensionElementInsert DimensionSortOrder ElementSecurityPut ExecuteCommand ExecuteProcess ODBCOutput PublishView RemoveClientFromGroup RuleLoadFromFile ServerActiveSandboxSet ServerSandboxesDelete ServerShutDown SetUseActiveSandboxProperty SubsetAliasSet SubsetCreate SubsetCreatebyMDX SubsetDeleteAllElements SubsetDestroy SubsetElementDelete SubsetElementInsert SubsetExpandAboveSet SubsetFormatStyleSet ViewColumnDimensionSet ViewColumnSuppressZeroesSet ViewCreate ViewDestroy ViewExtractSkipCalcsSet ViewExtractSkipRuleValuesSet ViewExtractSkipZeroesSet ViewRowDimensionSet ViewRowSuppressZeroesSet ViewSubsetAssign ViewSuppressZeroesSet ViewTitleDimensionSet ViewTitleElementSet ViewZeroOut</t>
  </si>
  <si>
    <t>DistributedPlanningOutputDir</t>
  </si>
  <si>
    <t>tunit</t>
  </si>
  <si>
    <t>IPVersion</t>
  </si>
  <si>
    <t>JobQueueThreadPoolSize</t>
  </si>
  <si>
    <t>MaskUserNameInServerTools</t>
  </si>
  <si>
    <t>MaximumTILockObjects</t>
  </si>
  <si>
    <t>NetRecvBlockingWaitLimitSeconds</t>
  </si>
  <si>
    <t>NetRecvMaxClientIOWaitWithinAPIsSeconds</t>
  </si>
  <si>
    <t>ProportionSpreadToZeroCells</t>
  </si>
  <si>
    <t>RulesOverwriteCellsOnLoad</t>
  </si>
  <si>
    <t>ServerPrincipalName</t>
  </si>
  <si>
    <t>SpreadingPrecision (Consolidated Holds)</t>
  </si>
  <si>
    <t>StartupChores</t>
  </si>
  <si>
    <t>UseLocalCopiesforPublicDynamicSubsets</t>
  </si>
  <si>
    <t>ServerCAMIPVersion</t>
  </si>
  <si>
    <t>AdminHost AuditLogOn ClientCAMURI ClientMessagePortNumber CognosInterfacePath DataBaseDirectory DistributedPlanningOutputDir GroupsCreationLimit IdleConnectionTimeOutSeconds IntegratedSecurityMode IPAddress LoggingDirectory MaximumCubeLoadThreads MaximumUserSandboxSize MaximumViewSize ParallelInteraction  PerformanceMonitorOn PersistentFeeders PortNumber RawStoreDirectory ServerCAMURI ServerLogging ServerName ServerPrincipalName StartupChores</t>
  </si>
  <si>
    <t>AllowMultiModes AllowReadOnlyChoreReschedule AllowSeparateNandCRules AllRuleCalcStargateOptimization AuditLogMaxFileSize AuditLogMaxQueryMemory AuditLogMaxTempFileSize AuditLogUpdateInterval CalculationThresholdForStorage CAMPortalVariableFile CAMSSLCertificate CheckFeedersMaximumCells ClientPingCAMPassport ClientPropertiesSyncInterval ClientVersionMaximum ClientVersionMinimum ClientVersionPrecision DefaultMeasuresDimension DisableMemoryCache DisableSandboxing DisableWorksheetView Display_Info_DBType_R8 DownTime ExcelWebPublishEnabled IPVersion JobQueueMaxWaitTime JobQueueThreadPoolSize JobQueueThreadSleepTime JobQueuing Language LDAPPasswordFile LDAPPasswordKeyFile LDAPUseServerAccount LockPagesInMemory LogReleaseLineCount MaskUserNameInServerTools MaximumLoginAttempts MaximumMemoryForSubsetUndo MaximumSynchAttempts MaximumTILockObjects MaxUndoHoldLineCount MessageCompression NetRecvBlockingWaitLimitSeconds NetRecvMaxClientIOWaitWithinAPIsSeconds PasswordMinimumLength PasswordSource PrivilegeGenerationOptimization ProgressMessage ProportionSpreadToZeroCells ReceiveProgressResponseTimeoutSecs RulesOverwriteCellsOnLoad RunningInBackground SAPLogFilePath SAPLoggingEnabled SaveTime SecurityPackageName ServerCAMIPVersion SkipLoadingAliases SkipSSLCAMHostCheck SpreadingPrecision SpreadingPrecision (Consolidated Holds) SubsetElementBreatherCount SyncUnitSize UseLocalCopiesforPublicDynamicSubsets UserDefinedCalculations UseSQLExtenedFetch UseSQLFetch UseSQLFetchScroll UseSSL UseStargateForRules ViewConsolidationOptimization ViewConsolidationOptimizationMethod</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</si>
</sst>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sz val="10"/>
      <color theme="1"/>
      <name val="Arial Unicode MS"/>
      <family val="2"/>
    </font>
    <font>
      <sz val="10"/>
      <color theme="0"/>
      <name val="Arial Unicode MS"/>
      <family val="2"/>
    </font>
    <font>
      <sz val="11"/>
      <name val="Consolas"/>
      <family val="3"/>
    </font>
    <font>
      <sz val="11"/>
      <color theme="1"/>
      <name val="Consolas"/>
      <family val="3"/>
    </font>
    <font>
      <sz val="10"/>
      <name val="Consolas"/>
      <family val="3"/>
    </font>
    <font>
      <sz val="10"/>
      <color theme="1"/>
      <name val="Consolas"/>
      <family val="3"/>
    </font>
    <font>
      <b/>
      <sz val="11"/>
      <color theme="1"/>
      <name val="Consolas"/>
      <family val="3"/>
    </font>
    <font>
      <b/>
      <sz val="11"/>
      <name val="Consolas"/>
      <family val="3"/>
    </font>
    <font>
      <u/>
      <sz val="11"/>
      <color theme="10"/>
      <name val="Calibri"/>
      <family val="2"/>
      <scheme val="minor"/>
    </font>
    <font>
      <sz val="11"/>
      <color rgb="FF000000"/>
      <name val="Consolas"/>
      <family val="3"/>
    </font>
    <font>
      <sz val="11"/>
      <color theme="1"/>
      <name val="Tahoma"/>
      <family val="2"/>
    </font>
    <font>
      <sz val="11"/>
      <color rgb="FF000000"/>
      <name val="Calibri"/>
      <family val="2"/>
    </font>
  </fonts>
  <fills count="17">
    <fill>
      <patternFill patternType="none"/>
    </fill>
    <fill>
      <patternFill patternType="gray125"/>
    </fill>
    <fill>
      <patternFill patternType="solid">
        <fgColor rgb="FF4D4D4C"/>
        <bgColor indexed="64"/>
      </patternFill>
    </fill>
    <fill>
      <patternFill patternType="solid">
        <fgColor rgb="FF9BA3C5"/>
        <bgColor indexed="64"/>
      </patternFill>
    </fill>
    <fill>
      <patternFill patternType="solid">
        <fgColor rgb="FFE9EFFF"/>
        <bgColor indexed="64"/>
      </patternFill>
    </fill>
    <fill>
      <patternFill patternType="solid">
        <fgColor rgb="FFC5CCE9"/>
        <bgColor indexed="64"/>
      </patternFill>
    </fill>
    <fill>
      <patternFill patternType="solid">
        <fgColor rgb="FF718C00"/>
        <bgColor indexed="64"/>
      </patternFill>
    </fill>
    <fill>
      <patternFill patternType="solid">
        <fgColor rgb="FFC82829"/>
        <bgColor indexed="64"/>
      </patternFill>
    </fill>
    <fill>
      <patternFill patternType="solid">
        <fgColor rgb="FFF5871F"/>
        <bgColor indexed="64"/>
      </patternFill>
    </fill>
    <fill>
      <patternFill patternType="solid">
        <fgColor rgb="FF8959A8"/>
        <bgColor indexed="64"/>
      </patternFill>
    </fill>
    <fill>
      <patternFill patternType="solid">
        <fgColor rgb="FF4271AE"/>
        <bgColor indexed="64"/>
      </patternFill>
    </fill>
    <fill>
      <patternFill patternType="solid">
        <fgColor rgb="FFEAB700"/>
        <bgColor indexed="64"/>
      </patternFill>
    </fill>
    <fill>
      <patternFill patternType="solid">
        <fgColor rgb="FF808080"/>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indexed="22"/>
        <bgColor indexed="64"/>
      </patternFill>
    </fill>
    <fill>
      <patternFill patternType="solid">
        <fgColor rgb="FFFFFF00"/>
        <bgColor indexed="64"/>
      </patternFill>
    </fill>
  </fills>
  <borders count="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0" fillId="0" borderId="0" applyNumberFormat="0" applyFill="0" applyBorder="0" applyAlignment="0" applyProtection="0"/>
  </cellStyleXfs>
  <cellXfs count="56">
    <xf numFmtId="0" fontId="0" fillId="0" borderId="0" xfId="0"/>
    <xf numFmtId="0" fontId="2" fillId="0" borderId="0" xfId="0" applyFont="1" applyAlignment="1">
      <alignment vertical="center"/>
    </xf>
    <xf numFmtId="0" fontId="1" fillId="0" borderId="0" xfId="0" applyFont="1" applyAlignment="1">
      <alignment horizontal="right"/>
    </xf>
    <xf numFmtId="0" fontId="0" fillId="0" borderId="0" xfId="0" applyAlignment="1">
      <alignment horizontal="right"/>
    </xf>
    <xf numFmtId="0" fontId="2" fillId="0" borderId="0" xfId="0" applyFont="1" applyAlignment="1">
      <alignment horizontal="right" vertical="center"/>
    </xf>
    <xf numFmtId="0" fontId="2" fillId="3" borderId="0" xfId="0" applyFont="1" applyFill="1" applyAlignment="1">
      <alignment vertical="center"/>
    </xf>
    <xf numFmtId="0" fontId="2" fillId="4" borderId="0" xfId="0" applyFont="1" applyFill="1" applyAlignment="1">
      <alignment vertical="center"/>
    </xf>
    <xf numFmtId="0" fontId="3" fillId="2" borderId="0" xfId="0" applyFont="1" applyFill="1" applyAlignment="1">
      <alignment vertical="center"/>
    </xf>
    <xf numFmtId="0" fontId="2" fillId="5" borderId="0" xfId="0" applyFont="1" applyFill="1" applyAlignment="1">
      <alignment vertical="center"/>
    </xf>
    <xf numFmtId="0" fontId="2" fillId="6" borderId="0" xfId="0" applyFont="1" applyFill="1" applyAlignment="1">
      <alignment vertical="center"/>
    </xf>
    <xf numFmtId="0" fontId="2" fillId="7" borderId="0" xfId="0" applyFont="1" applyFill="1" applyAlignment="1">
      <alignment vertical="center"/>
    </xf>
    <xf numFmtId="0" fontId="2" fillId="8" borderId="0" xfId="0" applyFont="1" applyFill="1" applyAlignment="1">
      <alignment vertical="center"/>
    </xf>
    <xf numFmtId="0" fontId="2" fillId="9" borderId="0" xfId="0" applyFont="1" applyFill="1" applyAlignment="1">
      <alignment vertical="center"/>
    </xf>
    <xf numFmtId="0" fontId="2" fillId="10" borderId="0" xfId="0" applyFont="1" applyFill="1" applyAlignment="1">
      <alignment vertical="center"/>
    </xf>
    <xf numFmtId="0" fontId="2" fillId="11" borderId="0" xfId="0" applyFont="1" applyFill="1" applyAlignment="1">
      <alignment vertical="center"/>
    </xf>
    <xf numFmtId="0" fontId="4" fillId="0" borderId="0" xfId="0" applyFont="1" applyFill="1"/>
    <xf numFmtId="0" fontId="5" fillId="0" borderId="0" xfId="0" applyFont="1"/>
    <xf numFmtId="0" fontId="6" fillId="0" borderId="0" xfId="0" applyFont="1" applyFill="1"/>
    <xf numFmtId="0" fontId="7" fillId="0" borderId="0" xfId="0" applyFont="1"/>
    <xf numFmtId="0" fontId="8" fillId="0" borderId="0" xfId="0" applyFont="1"/>
    <xf numFmtId="0" fontId="9" fillId="0" borderId="0" xfId="0" applyFont="1" applyFill="1"/>
    <xf numFmtId="0" fontId="8" fillId="0" borderId="1" xfId="0" applyFont="1" applyBorder="1"/>
    <xf numFmtId="0" fontId="8" fillId="0" borderId="2" xfId="0" applyFont="1" applyBorder="1"/>
    <xf numFmtId="0" fontId="5" fillId="0" borderId="4" xfId="0" applyFont="1" applyBorder="1"/>
    <xf numFmtId="0" fontId="5" fillId="0" borderId="6" xfId="0" applyFont="1" applyBorder="1"/>
    <xf numFmtId="0" fontId="5" fillId="0" borderId="2" xfId="0" applyFont="1" applyBorder="1"/>
    <xf numFmtId="0" fontId="1" fillId="0" borderId="0" xfId="0" applyFont="1" applyAlignment="1">
      <alignment horizontal="right" vertical="top"/>
    </xf>
    <xf numFmtId="0" fontId="0" fillId="0" borderId="0" xfId="0" applyAlignment="1"/>
    <xf numFmtId="0" fontId="0" fillId="0" borderId="0" xfId="0" applyNumberFormat="1" applyAlignment="1">
      <alignment vertical="top" wrapText="1"/>
    </xf>
    <xf numFmtId="0" fontId="0" fillId="0" borderId="0" xfId="0" applyAlignment="1">
      <alignment vertical="top" wrapText="1"/>
    </xf>
    <xf numFmtId="0" fontId="0" fillId="0" borderId="0" xfId="0" applyAlignment="1">
      <alignment horizontal="left"/>
    </xf>
    <xf numFmtId="0" fontId="5" fillId="0" borderId="0" xfId="0" quotePrefix="1" applyFont="1"/>
    <xf numFmtId="0" fontId="5" fillId="0" borderId="0" xfId="0" applyFont="1" applyAlignment="1">
      <alignment vertical="center"/>
    </xf>
    <xf numFmtId="0" fontId="3" fillId="12" borderId="0" xfId="0" applyFont="1" applyFill="1" applyAlignment="1">
      <alignment horizontal="left" vertical="center"/>
    </xf>
    <xf numFmtId="0" fontId="1" fillId="0" borderId="0" xfId="0" applyFont="1" applyAlignment="1">
      <alignment vertical="top" wrapText="1"/>
    </xf>
    <xf numFmtId="0" fontId="10" fillId="0" borderId="0" xfId="1"/>
    <xf numFmtId="0" fontId="8" fillId="0" borderId="7" xfId="0" applyFont="1" applyBorder="1"/>
    <xf numFmtId="0" fontId="8" fillId="0" borderId="8" xfId="0" applyFont="1" applyBorder="1"/>
    <xf numFmtId="0" fontId="5" fillId="13" borderId="1" xfId="0" applyFont="1" applyFill="1" applyBorder="1"/>
    <xf numFmtId="0" fontId="5" fillId="13" borderId="3" xfId="0" applyFont="1" applyFill="1" applyBorder="1"/>
    <xf numFmtId="0" fontId="5" fillId="13" borderId="5" xfId="0" applyFont="1" applyFill="1" applyBorder="1"/>
    <xf numFmtId="0" fontId="1" fillId="0" borderId="0" xfId="0" applyFont="1"/>
    <xf numFmtId="0" fontId="5" fillId="13" borderId="0" xfId="0" applyFont="1" applyFill="1" applyBorder="1"/>
    <xf numFmtId="0" fontId="4" fillId="14" borderId="0" xfId="0" applyFont="1" applyFill="1"/>
    <xf numFmtId="0" fontId="11" fillId="0" borderId="0" xfId="0" applyFont="1"/>
    <xf numFmtId="0" fontId="12" fillId="0" borderId="0" xfId="0" applyFont="1" applyAlignment="1">
      <alignment vertical="center"/>
    </xf>
    <xf numFmtId="0" fontId="11" fillId="14" borderId="0" xfId="0" applyFont="1" applyFill="1"/>
    <xf numFmtId="0" fontId="0" fillId="15" borderId="0" xfId="0" applyFill="1"/>
    <xf numFmtId="0" fontId="0" fillId="0" borderId="0" xfId="0" applyAlignment="1">
      <alignment horizontal="center"/>
    </xf>
    <xf numFmtId="0" fontId="0" fillId="0" borderId="0" xfId="0" applyAlignment="1">
      <alignment wrapText="1"/>
    </xf>
    <xf numFmtId="0" fontId="0" fillId="15" borderId="0" xfId="0" applyFill="1" applyAlignment="1">
      <alignment wrapText="1"/>
    </xf>
    <xf numFmtId="0" fontId="8" fillId="0" borderId="0" xfId="0" applyFont="1" applyAlignment="1">
      <alignment horizontal="right"/>
    </xf>
    <xf numFmtId="0" fontId="5" fillId="0" borderId="0" xfId="0" applyFont="1" applyAlignment="1">
      <alignment horizontal="right"/>
    </xf>
    <xf numFmtId="21" fontId="5" fillId="0" borderId="0" xfId="0" applyNumberFormat="1" applyFont="1" applyAlignment="1">
      <alignment horizontal="right"/>
    </xf>
    <xf numFmtId="0" fontId="5" fillId="16" borderId="0" xfId="0" applyFont="1" applyFill="1"/>
    <xf numFmtId="0" fontId="11" fillId="0" borderId="0" xfId="0" applyFont="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808080"/>
      <color rgb="FFEAB700"/>
      <color rgb="FF8959A8"/>
      <color rgb="FF4271AE"/>
      <color rgb="FF4D4D4C"/>
      <color rgb="FFC82829"/>
      <color rgb="FFF5871F"/>
      <color rgb="FF718C00"/>
      <color rgb="FF8E908C"/>
      <color rgb="FFC5CCE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676275</xdr:colOff>
          <xdr:row>2</xdr:row>
          <xdr:rowOff>9525</xdr:rowOff>
        </xdr:from>
        <xdr:to>
          <xdr:col>0</xdr:col>
          <xdr:colOff>1447800</xdr:colOff>
          <xdr:row>4</xdr:row>
          <xdr:rowOff>104775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wrap="none" lIns="182880" tIns="137160" rIns="182880" bIns="137160" anchor="ctr" upright="1">
              <a:spAutoFit/>
            </a:bodyPr>
            <a:lstStyle/>
            <a:p>
              <a:pPr algn="ctr" rtl="0">
                <a:defRPr sz="1000"/>
              </a:pPr>
              <a:r>
                <a:rPr lang="en-US" sz="1100" b="0" i="0" u="none" strike="noStrike" baseline="0">
                  <a:solidFill>
                    <a:srgbClr val="000000"/>
                  </a:solidFill>
                  <a:latin typeface="Calibri"/>
                  <a:cs typeface="Calibri"/>
                </a:rPr>
                <a:t>TM1-TI</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1628775</xdr:colOff>
          <xdr:row>2</xdr:row>
          <xdr:rowOff>19050</xdr:rowOff>
        </xdr:from>
        <xdr:to>
          <xdr:col>0</xdr:col>
          <xdr:colOff>2628900</xdr:colOff>
          <xdr:row>4</xdr:row>
          <xdr:rowOff>114300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wrap="none" lIns="182880" tIns="137160" rIns="182880" bIns="137160" anchor="ctr" upright="1">
              <a:spAutoFit/>
            </a:bodyPr>
            <a:lstStyle/>
            <a:p>
              <a:pPr algn="ctr" rtl="0">
                <a:defRPr sz="1000"/>
              </a:pPr>
              <a:r>
                <a:rPr lang="en-US" sz="1100" b="0" i="0" u="none" strike="noStrike" baseline="0">
                  <a:solidFill>
                    <a:srgbClr val="000000"/>
                  </a:solidFill>
                  <a:latin typeface="Calibri"/>
                  <a:cs typeface="Calibri"/>
                </a:rPr>
                <a:t>TM1-Rules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2914650</xdr:colOff>
          <xdr:row>2</xdr:row>
          <xdr:rowOff>19050</xdr:rowOff>
        </xdr:from>
        <xdr:ext cx="885825" cy="476250"/>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wrap="none" lIns="182880" tIns="137160" rIns="182880" bIns="137160" anchor="ctr" upright="1">
              <a:spAutoFit/>
            </a:bodyPr>
            <a:lstStyle/>
            <a:p>
              <a:pPr algn="ctr" rtl="0">
                <a:defRPr sz="1000"/>
              </a:pPr>
              <a:r>
                <a:rPr lang="en-US" sz="1100" b="0" i="0" u="none" strike="noStrike" baseline="0">
                  <a:solidFill>
                    <a:srgbClr val="000000"/>
                  </a:solidFill>
                  <a:latin typeface="Calibri"/>
                  <a:cs typeface="Calibri"/>
                </a:rPr>
                <a:t>TM1-CFG</a:t>
              </a:r>
              <a:endParaRPr lang="en-US"/>
            </a:p>
          </xdr:txBody>
        </xdr:sp>
        <xdr:clientData fPrintsWithSheet="0"/>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2238375</xdr:colOff>
          <xdr:row>0</xdr:row>
          <xdr:rowOff>95251</xdr:rowOff>
        </xdr:from>
        <xdr:to>
          <xdr:col>1</xdr:col>
          <xdr:colOff>3590925</xdr:colOff>
          <xdr:row>2</xdr:row>
          <xdr:rowOff>76201</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notepad-plus-plus.org/" TargetMode="External"/><Relationship Id="rId2" Type="http://schemas.openxmlformats.org/officeDocument/2006/relationships/hyperlink" Target="http://publib.boulder.ibm.com/infocenter/ctm1/v9r5m0/index.jsp?topic=/com.ibm.swg.im.cognos.tm1_op.9.5.2.doc/tm1_op_id3776TM1_admn_cfg_cv_CubeVer_Enable_N5372.html" TargetMode="External"/><Relationship Id="rId1" Type="http://schemas.openxmlformats.org/officeDocument/2006/relationships/hyperlink" Target="http://publib.boulder.ibm.com/infocenter/ctm1/v9r5m0/index.jsp?topic=/com.ibm.swg.im.cognos.tm1_op.9.5.2.doc/tm1_op_id3776TM1_admn_cfg_cv_CubeVer_Enable_N5372.html" TargetMode="External"/><Relationship Id="rId5" Type="http://schemas.openxmlformats.org/officeDocument/2006/relationships/hyperlink" Target="https://www-304.ibm.com/support/docview.wss?uid=swg21460097" TargetMode="External"/><Relationship Id="rId4" Type="http://schemas.openxmlformats.org/officeDocument/2006/relationships/hyperlink" Target="https://www-304.ibm.com/support/docview.wss?mynp=OCSS9RXT&amp;mync=R&amp;uid=swg21460595&amp;myns=swgimgm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C15"/>
  <sheetViews>
    <sheetView workbookViewId="0">
      <selection activeCell="B23" sqref="B23"/>
    </sheetView>
  </sheetViews>
  <sheetFormatPr defaultRowHeight="15" x14ac:dyDescent="0.25"/>
  <cols>
    <col min="2" max="2" width="29" bestFit="1" customWidth="1"/>
  </cols>
  <sheetData>
    <row r="3" spans="2:3" x14ac:dyDescent="0.25">
      <c r="B3" t="s">
        <v>483</v>
      </c>
      <c r="C3" s="35" t="s">
        <v>484</v>
      </c>
    </row>
    <row r="4" spans="2:3" x14ac:dyDescent="0.25">
      <c r="B4" t="s">
        <v>485</v>
      </c>
      <c r="C4" s="35" t="s">
        <v>484</v>
      </c>
    </row>
    <row r="8" spans="2:3" x14ac:dyDescent="0.25">
      <c r="B8" t="s">
        <v>486</v>
      </c>
      <c r="C8" s="35" t="s">
        <v>487</v>
      </c>
    </row>
    <row r="9" spans="2:3" x14ac:dyDescent="0.25">
      <c r="C9" t="s">
        <v>488</v>
      </c>
    </row>
    <row r="14" spans="2:3" x14ac:dyDescent="0.25">
      <c r="B14" t="s">
        <v>489</v>
      </c>
      <c r="C14" s="35" t="s">
        <v>490</v>
      </c>
    </row>
    <row r="15" spans="2:3" x14ac:dyDescent="0.25">
      <c r="B15" t="s">
        <v>491</v>
      </c>
      <c r="C15" s="35" t="s">
        <v>492</v>
      </c>
    </row>
  </sheetData>
  <hyperlinks>
    <hyperlink ref="C3" r:id="rId1"/>
    <hyperlink ref="C4" r:id="rId2"/>
    <hyperlink ref="C8" r:id="rId3"/>
    <hyperlink ref="C14" r:id="rId4"/>
    <hyperlink ref="C15" r:id="rId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G46"/>
  <sheetViews>
    <sheetView tabSelected="1" workbookViewId="0">
      <selection activeCell="G25" sqref="G25"/>
    </sheetView>
  </sheetViews>
  <sheetFormatPr defaultRowHeight="15" x14ac:dyDescent="0.25"/>
  <cols>
    <col min="2" max="2" width="19.85546875" style="3" customWidth="1"/>
    <col min="3" max="3" width="26.42578125" customWidth="1"/>
    <col min="4" max="4" width="4.42578125" bestFit="1" customWidth="1"/>
  </cols>
  <sheetData>
    <row r="2" spans="2:7" x14ac:dyDescent="0.25">
      <c r="B2" s="2" t="s">
        <v>376</v>
      </c>
    </row>
    <row r="3" spans="2:7" x14ac:dyDescent="0.25">
      <c r="B3" s="3" t="s">
        <v>374</v>
      </c>
      <c r="C3" s="7" t="s">
        <v>129</v>
      </c>
      <c r="D3">
        <f t="shared" ref="D3:F5" si="0">HEX2DEC(MID($C3,D$18,2))</f>
        <v>77</v>
      </c>
      <c r="E3">
        <f t="shared" si="0"/>
        <v>77</v>
      </c>
      <c r="F3">
        <f t="shared" si="0"/>
        <v>76</v>
      </c>
    </row>
    <row r="4" spans="2:7" x14ac:dyDescent="0.25">
      <c r="B4" s="3" t="s">
        <v>385</v>
      </c>
      <c r="C4" s="13" t="s">
        <v>150</v>
      </c>
      <c r="D4">
        <f t="shared" si="0"/>
        <v>66</v>
      </c>
      <c r="E4">
        <f t="shared" si="0"/>
        <v>113</v>
      </c>
      <c r="F4">
        <f t="shared" si="0"/>
        <v>174</v>
      </c>
    </row>
    <row r="5" spans="2:7" x14ac:dyDescent="0.25">
      <c r="B5" s="3" t="s">
        <v>378</v>
      </c>
      <c r="C5" s="13" t="s">
        <v>150</v>
      </c>
      <c r="D5">
        <f t="shared" si="0"/>
        <v>66</v>
      </c>
      <c r="E5">
        <f t="shared" si="0"/>
        <v>113</v>
      </c>
      <c r="F5">
        <f t="shared" si="0"/>
        <v>174</v>
      </c>
    </row>
    <row r="6" spans="2:7" x14ac:dyDescent="0.25">
      <c r="B6" s="3" t="s">
        <v>379</v>
      </c>
      <c r="C6" s="10" t="s">
        <v>138</v>
      </c>
      <c r="D6">
        <f t="shared" ref="D6:F6" si="1">HEX2DEC(MID($C6,D$18,2))</f>
        <v>200</v>
      </c>
      <c r="E6">
        <f t="shared" si="1"/>
        <v>40</v>
      </c>
      <c r="F6">
        <f t="shared" si="1"/>
        <v>41</v>
      </c>
    </row>
    <row r="7" spans="2:7" x14ac:dyDescent="0.25">
      <c r="B7" s="3" t="s">
        <v>377</v>
      </c>
      <c r="C7" s="33">
        <v>808080</v>
      </c>
      <c r="D7">
        <v>128</v>
      </c>
      <c r="E7">
        <v>128</v>
      </c>
      <c r="F7">
        <v>128</v>
      </c>
      <c r="G7" t="s">
        <v>382</v>
      </c>
    </row>
    <row r="8" spans="2:7" x14ac:dyDescent="0.25">
      <c r="B8" s="3" t="s">
        <v>375</v>
      </c>
      <c r="C8" s="11" t="s">
        <v>140</v>
      </c>
      <c r="D8">
        <f t="shared" ref="D8:F10" si="2">HEX2DEC(MID($C8,D$18,2))</f>
        <v>245</v>
      </c>
      <c r="E8">
        <f t="shared" si="2"/>
        <v>135</v>
      </c>
      <c r="F8">
        <f t="shared" si="2"/>
        <v>31</v>
      </c>
    </row>
    <row r="9" spans="2:7" x14ac:dyDescent="0.25">
      <c r="B9" s="3" t="s">
        <v>383</v>
      </c>
      <c r="C9" s="7" t="s">
        <v>129</v>
      </c>
      <c r="D9">
        <f t="shared" si="2"/>
        <v>77</v>
      </c>
      <c r="E9">
        <f t="shared" si="2"/>
        <v>77</v>
      </c>
      <c r="F9">
        <f t="shared" si="2"/>
        <v>76</v>
      </c>
    </row>
    <row r="10" spans="2:7" x14ac:dyDescent="0.25">
      <c r="B10" s="3" t="s">
        <v>384</v>
      </c>
      <c r="C10" s="9" t="s">
        <v>136</v>
      </c>
      <c r="D10">
        <f t="shared" si="2"/>
        <v>113</v>
      </c>
      <c r="E10">
        <f t="shared" si="2"/>
        <v>140</v>
      </c>
      <c r="F10">
        <f t="shared" si="2"/>
        <v>0</v>
      </c>
    </row>
    <row r="12" spans="2:7" x14ac:dyDescent="0.25">
      <c r="B12" s="30" t="s">
        <v>380</v>
      </c>
    </row>
    <row r="13" spans="2:7" x14ac:dyDescent="0.25">
      <c r="B13" s="30" t="s">
        <v>381</v>
      </c>
    </row>
    <row r="14" spans="2:7" x14ac:dyDescent="0.25">
      <c r="B14" s="30"/>
    </row>
    <row r="15" spans="2:7" ht="16.5" customHeight="1" x14ac:dyDescent="0.25"/>
    <row r="16" spans="2:7" x14ac:dyDescent="0.25">
      <c r="B16" s="2" t="s">
        <v>120</v>
      </c>
      <c r="C16" s="48" t="s">
        <v>121</v>
      </c>
      <c r="D16" s="48"/>
      <c r="E16" s="48"/>
      <c r="F16" s="48"/>
    </row>
    <row r="17" spans="2:6" x14ac:dyDescent="0.25">
      <c r="D17" s="2" t="s">
        <v>125</v>
      </c>
      <c r="E17" s="2" t="s">
        <v>126</v>
      </c>
      <c r="F17" s="2" t="s">
        <v>127</v>
      </c>
    </row>
    <row r="18" spans="2:6" x14ac:dyDescent="0.25">
      <c r="D18">
        <v>1</v>
      </c>
      <c r="E18">
        <v>3</v>
      </c>
      <c r="F18">
        <v>5</v>
      </c>
    </row>
    <row r="19" spans="2:6" x14ac:dyDescent="0.25">
      <c r="B19" s="3" t="s">
        <v>122</v>
      </c>
      <c r="C19" s="1" t="s">
        <v>124</v>
      </c>
      <c r="D19">
        <f t="shared" ref="D19:F20" si="3">HEX2DEC(MID($C19,D$18,2))</f>
        <v>255</v>
      </c>
      <c r="E19">
        <f t="shared" si="3"/>
        <v>255</v>
      </c>
      <c r="F19">
        <f t="shared" si="3"/>
        <v>255</v>
      </c>
    </row>
    <row r="20" spans="2:6" x14ac:dyDescent="0.25">
      <c r="B20" s="4" t="s">
        <v>128</v>
      </c>
      <c r="C20" s="7" t="s">
        <v>129</v>
      </c>
      <c r="D20">
        <f t="shared" si="3"/>
        <v>77</v>
      </c>
      <c r="E20">
        <f t="shared" si="3"/>
        <v>77</v>
      </c>
      <c r="F20">
        <f t="shared" si="3"/>
        <v>76</v>
      </c>
    </row>
    <row r="21" spans="2:6" x14ac:dyDescent="0.25">
      <c r="B21" s="4" t="s">
        <v>123</v>
      </c>
      <c r="C21" s="7" t="s">
        <v>129</v>
      </c>
      <c r="D21">
        <f t="shared" ref="D21:F46" si="4">HEX2DEC(MID($C21,D$18,2))</f>
        <v>77</v>
      </c>
      <c r="E21">
        <f t="shared" si="4"/>
        <v>77</v>
      </c>
      <c r="F21">
        <f t="shared" si="4"/>
        <v>76</v>
      </c>
    </row>
    <row r="22" spans="2:6" x14ac:dyDescent="0.25">
      <c r="B22" s="4" t="s">
        <v>130</v>
      </c>
      <c r="C22" s="5" t="s">
        <v>131</v>
      </c>
      <c r="D22">
        <f t="shared" si="4"/>
        <v>155</v>
      </c>
      <c r="E22">
        <f t="shared" si="4"/>
        <v>163</v>
      </c>
      <c r="F22">
        <f t="shared" si="4"/>
        <v>197</v>
      </c>
    </row>
    <row r="23" spans="2:6" x14ac:dyDescent="0.25">
      <c r="B23" s="4" t="s">
        <v>132</v>
      </c>
      <c r="C23" s="6" t="s">
        <v>133</v>
      </c>
      <c r="D23">
        <f t="shared" si="4"/>
        <v>233</v>
      </c>
      <c r="E23">
        <f t="shared" si="4"/>
        <v>239</v>
      </c>
      <c r="F23">
        <f t="shared" si="4"/>
        <v>255</v>
      </c>
    </row>
    <row r="24" spans="2:6" x14ac:dyDescent="0.25">
      <c r="B24" s="4" t="s">
        <v>134</v>
      </c>
      <c r="C24" s="8" t="s">
        <v>135</v>
      </c>
      <c r="D24">
        <f t="shared" si="4"/>
        <v>197</v>
      </c>
      <c r="E24">
        <f t="shared" si="4"/>
        <v>204</v>
      </c>
      <c r="F24">
        <f t="shared" si="4"/>
        <v>233</v>
      </c>
    </row>
    <row r="25" spans="2:6" x14ac:dyDescent="0.25">
      <c r="B25" s="4" t="s">
        <v>143</v>
      </c>
      <c r="C25" s="9" t="s">
        <v>136</v>
      </c>
      <c r="D25">
        <f>HEX2DEC(MID($C25,D$18,2))</f>
        <v>113</v>
      </c>
      <c r="E25">
        <f>HEX2DEC(MID($C25,E$18,2))</f>
        <v>140</v>
      </c>
      <c r="F25">
        <f>HEX2DEC(MID($C25,F$18,2))</f>
        <v>0</v>
      </c>
    </row>
    <row r="26" spans="2:6" x14ac:dyDescent="0.25">
      <c r="B26" s="4" t="s">
        <v>142</v>
      </c>
      <c r="C26" s="10" t="s">
        <v>138</v>
      </c>
      <c r="D26">
        <f t="shared" si="4"/>
        <v>200</v>
      </c>
      <c r="E26">
        <f t="shared" si="4"/>
        <v>40</v>
      </c>
      <c r="F26">
        <f t="shared" si="4"/>
        <v>41</v>
      </c>
    </row>
    <row r="27" spans="2:6" x14ac:dyDescent="0.25">
      <c r="B27" s="4" t="s">
        <v>137</v>
      </c>
      <c r="C27" s="10" t="s">
        <v>138</v>
      </c>
      <c r="D27">
        <f t="shared" si="4"/>
        <v>200</v>
      </c>
      <c r="E27">
        <f t="shared" si="4"/>
        <v>40</v>
      </c>
      <c r="F27">
        <f t="shared" si="4"/>
        <v>41</v>
      </c>
    </row>
    <row r="28" spans="2:6" x14ac:dyDescent="0.25">
      <c r="B28" s="4" t="s">
        <v>139</v>
      </c>
      <c r="C28" s="11" t="s">
        <v>140</v>
      </c>
      <c r="D28">
        <f t="shared" si="4"/>
        <v>245</v>
      </c>
      <c r="E28">
        <f t="shared" si="4"/>
        <v>135</v>
      </c>
      <c r="F28">
        <f t="shared" si="4"/>
        <v>31</v>
      </c>
    </row>
    <row r="29" spans="2:6" x14ac:dyDescent="0.25">
      <c r="B29" s="4" t="s">
        <v>141</v>
      </c>
      <c r="C29" s="10" t="s">
        <v>138</v>
      </c>
      <c r="D29">
        <f t="shared" si="4"/>
        <v>200</v>
      </c>
      <c r="E29">
        <f t="shared" si="4"/>
        <v>40</v>
      </c>
      <c r="F29">
        <f t="shared" si="4"/>
        <v>41</v>
      </c>
    </row>
    <row r="30" spans="2:6" x14ac:dyDescent="0.25">
      <c r="B30" s="4" t="s">
        <v>144</v>
      </c>
      <c r="C30" s="11" t="s">
        <v>140</v>
      </c>
      <c r="D30">
        <f t="shared" si="4"/>
        <v>245</v>
      </c>
      <c r="E30">
        <f t="shared" si="4"/>
        <v>135</v>
      </c>
      <c r="F30">
        <f t="shared" si="4"/>
        <v>31</v>
      </c>
    </row>
    <row r="31" spans="2:6" x14ac:dyDescent="0.25">
      <c r="B31" s="4" t="s">
        <v>8</v>
      </c>
      <c r="C31" s="13" t="s">
        <v>150</v>
      </c>
      <c r="D31">
        <f t="shared" si="4"/>
        <v>66</v>
      </c>
      <c r="E31">
        <f t="shared" si="4"/>
        <v>113</v>
      </c>
      <c r="F31">
        <f t="shared" si="4"/>
        <v>174</v>
      </c>
    </row>
    <row r="32" spans="2:6" x14ac:dyDescent="0.25">
      <c r="B32" s="4" t="s">
        <v>145</v>
      </c>
      <c r="C32" s="10" t="s">
        <v>138</v>
      </c>
      <c r="D32">
        <f t="shared" si="4"/>
        <v>200</v>
      </c>
      <c r="E32">
        <f t="shared" si="4"/>
        <v>40</v>
      </c>
      <c r="F32">
        <f t="shared" si="4"/>
        <v>41</v>
      </c>
    </row>
    <row r="33" spans="2:6" x14ac:dyDescent="0.25">
      <c r="B33" s="4" t="s">
        <v>146</v>
      </c>
      <c r="C33" s="12" t="s">
        <v>147</v>
      </c>
      <c r="D33">
        <f t="shared" si="4"/>
        <v>137</v>
      </c>
      <c r="E33">
        <f t="shared" si="4"/>
        <v>89</v>
      </c>
      <c r="F33">
        <f t="shared" si="4"/>
        <v>168</v>
      </c>
    </row>
    <row r="34" spans="2:6" x14ac:dyDescent="0.25">
      <c r="B34" s="4" t="s">
        <v>148</v>
      </c>
      <c r="C34" s="7" t="s">
        <v>129</v>
      </c>
      <c r="D34">
        <f t="shared" si="4"/>
        <v>77</v>
      </c>
      <c r="E34">
        <f t="shared" si="4"/>
        <v>77</v>
      </c>
      <c r="F34">
        <f t="shared" si="4"/>
        <v>76</v>
      </c>
    </row>
    <row r="35" spans="2:6" x14ac:dyDescent="0.25">
      <c r="B35" s="4" t="s">
        <v>149</v>
      </c>
      <c r="C35" s="13" t="s">
        <v>150</v>
      </c>
      <c r="D35">
        <f t="shared" si="4"/>
        <v>66</v>
      </c>
      <c r="E35">
        <f t="shared" si="4"/>
        <v>113</v>
      </c>
      <c r="F35">
        <f t="shared" si="4"/>
        <v>174</v>
      </c>
    </row>
    <row r="36" spans="2:6" x14ac:dyDescent="0.25">
      <c r="B36" s="4" t="s">
        <v>151</v>
      </c>
      <c r="C36" s="12" t="s">
        <v>147</v>
      </c>
      <c r="D36">
        <f t="shared" si="4"/>
        <v>137</v>
      </c>
      <c r="E36">
        <f t="shared" si="4"/>
        <v>89</v>
      </c>
      <c r="F36">
        <f t="shared" si="4"/>
        <v>168</v>
      </c>
    </row>
    <row r="37" spans="2:6" x14ac:dyDescent="0.25">
      <c r="B37" s="4" t="s">
        <v>152</v>
      </c>
      <c r="C37" s="14" t="s">
        <v>153</v>
      </c>
      <c r="D37">
        <f t="shared" si="4"/>
        <v>234</v>
      </c>
      <c r="E37">
        <f t="shared" si="4"/>
        <v>183</v>
      </c>
      <c r="F37">
        <f t="shared" si="4"/>
        <v>0</v>
      </c>
    </row>
    <row r="38" spans="2:6" x14ac:dyDescent="0.25">
      <c r="B38" s="4" t="s">
        <v>154</v>
      </c>
      <c r="C38" s="14" t="s">
        <v>153</v>
      </c>
      <c r="D38">
        <f t="shared" si="4"/>
        <v>234</v>
      </c>
      <c r="E38">
        <f t="shared" si="4"/>
        <v>183</v>
      </c>
      <c r="F38">
        <f t="shared" si="4"/>
        <v>0</v>
      </c>
    </row>
    <row r="39" spans="2:6" x14ac:dyDescent="0.25">
      <c r="B39" s="4" t="s">
        <v>155</v>
      </c>
      <c r="C39" s="14" t="s">
        <v>153</v>
      </c>
      <c r="D39">
        <f t="shared" si="4"/>
        <v>234</v>
      </c>
      <c r="E39">
        <f t="shared" si="4"/>
        <v>183</v>
      </c>
      <c r="F39">
        <f t="shared" si="4"/>
        <v>0</v>
      </c>
    </row>
    <row r="40" spans="2:6" x14ac:dyDescent="0.25">
      <c r="B40" s="4" t="s">
        <v>30</v>
      </c>
      <c r="C40" s="13" t="s">
        <v>150</v>
      </c>
      <c r="D40">
        <f t="shared" si="4"/>
        <v>66</v>
      </c>
      <c r="E40">
        <f t="shared" si="4"/>
        <v>113</v>
      </c>
      <c r="F40">
        <f t="shared" si="4"/>
        <v>174</v>
      </c>
    </row>
    <row r="41" spans="2:6" x14ac:dyDescent="0.25">
      <c r="B41" s="4" t="s">
        <v>156</v>
      </c>
      <c r="C41" s="10" t="s">
        <v>138</v>
      </c>
      <c r="D41">
        <f t="shared" si="4"/>
        <v>200</v>
      </c>
      <c r="E41">
        <f t="shared" si="4"/>
        <v>40</v>
      </c>
      <c r="F41">
        <f t="shared" si="4"/>
        <v>41</v>
      </c>
    </row>
    <row r="42" spans="2:6" x14ac:dyDescent="0.25">
      <c r="B42" s="4" t="s">
        <v>157</v>
      </c>
      <c r="C42" s="11" t="s">
        <v>140</v>
      </c>
      <c r="D42">
        <f t="shared" si="4"/>
        <v>245</v>
      </c>
      <c r="E42">
        <f t="shared" si="4"/>
        <v>135</v>
      </c>
      <c r="F42">
        <f t="shared" si="4"/>
        <v>31</v>
      </c>
    </row>
    <row r="43" spans="2:6" x14ac:dyDescent="0.25">
      <c r="B43" s="4" t="s">
        <v>158</v>
      </c>
      <c r="C43" s="11" t="s">
        <v>140</v>
      </c>
      <c r="D43">
        <f t="shared" si="4"/>
        <v>245</v>
      </c>
      <c r="E43">
        <f t="shared" si="4"/>
        <v>135</v>
      </c>
      <c r="F43">
        <f t="shared" si="4"/>
        <v>31</v>
      </c>
    </row>
    <row r="44" spans="2:6" x14ac:dyDescent="0.25">
      <c r="B44" s="4" t="s">
        <v>159</v>
      </c>
      <c r="C44" s="13" t="s">
        <v>150</v>
      </c>
      <c r="D44">
        <f t="shared" si="4"/>
        <v>66</v>
      </c>
      <c r="E44">
        <f t="shared" si="4"/>
        <v>113</v>
      </c>
      <c r="F44">
        <f t="shared" si="4"/>
        <v>174</v>
      </c>
    </row>
    <row r="45" spans="2:6" x14ac:dyDescent="0.25">
      <c r="B45" s="4" t="s">
        <v>160</v>
      </c>
      <c r="C45" s="12" t="s">
        <v>147</v>
      </c>
      <c r="D45">
        <f t="shared" si="4"/>
        <v>137</v>
      </c>
      <c r="E45">
        <f t="shared" si="4"/>
        <v>89</v>
      </c>
      <c r="F45">
        <f t="shared" si="4"/>
        <v>168</v>
      </c>
    </row>
    <row r="46" spans="2:6" x14ac:dyDescent="0.25">
      <c r="B46" s="4" t="s">
        <v>161</v>
      </c>
      <c r="C46" s="13" t="s">
        <v>150</v>
      </c>
      <c r="D46">
        <f t="shared" si="4"/>
        <v>66</v>
      </c>
      <c r="E46">
        <f t="shared" si="4"/>
        <v>113</v>
      </c>
      <c r="F46">
        <f t="shared" si="4"/>
        <v>174</v>
      </c>
    </row>
  </sheetData>
  <mergeCells count="1">
    <mergeCell ref="C16:F16"/>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E3"/>
  <sheetViews>
    <sheetView workbookViewId="0">
      <selection activeCell="C4" sqref="C4"/>
    </sheetView>
  </sheetViews>
  <sheetFormatPr defaultRowHeight="15" x14ac:dyDescent="0.25"/>
  <cols>
    <col min="1" max="1" width="9.140625" style="16"/>
    <col min="2" max="4" width="8.28515625" style="16" customWidth="1"/>
    <col min="5" max="5" width="6" style="16" bestFit="1" customWidth="1"/>
    <col min="6" max="16384" width="9.140625" style="16"/>
  </cols>
  <sheetData>
    <row r="2" spans="1:5" x14ac:dyDescent="0.25">
      <c r="A2" s="19" t="s">
        <v>331</v>
      </c>
      <c r="B2" s="17" t="s">
        <v>68</v>
      </c>
      <c r="C2" s="17" t="s">
        <v>68</v>
      </c>
      <c r="D2" s="18" t="s">
        <v>338</v>
      </c>
      <c r="E2" s="18" t="s">
        <v>163</v>
      </c>
    </row>
    <row r="3" spans="1:5" x14ac:dyDescent="0.25">
      <c r="A3" s="19" t="s">
        <v>332</v>
      </c>
      <c r="B3" s="18" t="s">
        <v>162</v>
      </c>
      <c r="C3" s="18" t="s">
        <v>338</v>
      </c>
      <c r="D3" s="18" t="s">
        <v>162</v>
      </c>
      <c r="E3" s="18" t="s">
        <v>164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D48"/>
  <sheetViews>
    <sheetView showGridLines="0" zoomScale="85" zoomScaleNormal="85" workbookViewId="0">
      <selection activeCell="B26" sqref="B26"/>
    </sheetView>
  </sheetViews>
  <sheetFormatPr defaultRowHeight="15" x14ac:dyDescent="0.25"/>
  <cols>
    <col min="2" max="2" width="44.85546875" bestFit="1" customWidth="1"/>
    <col min="3" max="3" width="63.42578125" bestFit="1" customWidth="1"/>
  </cols>
  <sheetData>
    <row r="3" spans="2:3" x14ac:dyDescent="0.25">
      <c r="B3" s="16" t="s">
        <v>493</v>
      </c>
    </row>
    <row r="5" spans="2:3" x14ac:dyDescent="0.25">
      <c r="B5" s="21" t="s">
        <v>324</v>
      </c>
      <c r="C5" s="22" t="s">
        <v>9</v>
      </c>
    </row>
    <row r="6" spans="2:3" x14ac:dyDescent="0.25">
      <c r="B6" s="38" t="s">
        <v>321</v>
      </c>
      <c r="C6" s="25" t="s">
        <v>325</v>
      </c>
    </row>
    <row r="7" spans="2:3" x14ac:dyDescent="0.25">
      <c r="B7" s="39" t="s">
        <v>322</v>
      </c>
      <c r="C7" s="23" t="s">
        <v>326</v>
      </c>
    </row>
    <row r="8" spans="2:3" x14ac:dyDescent="0.25">
      <c r="B8" s="39" t="s">
        <v>145</v>
      </c>
      <c r="C8" s="23" t="s">
        <v>495</v>
      </c>
    </row>
    <row r="9" spans="2:3" x14ac:dyDescent="0.25">
      <c r="B9" s="40" t="s">
        <v>146</v>
      </c>
      <c r="C9" s="24" t="s">
        <v>494</v>
      </c>
    </row>
    <row r="10" spans="2:3" x14ac:dyDescent="0.25">
      <c r="B10" s="16"/>
      <c r="C10" s="16"/>
    </row>
    <row r="11" spans="2:3" x14ac:dyDescent="0.25">
      <c r="B11" s="36" t="s">
        <v>337</v>
      </c>
      <c r="C11" s="37" t="s">
        <v>9</v>
      </c>
    </row>
    <row r="12" spans="2:3" x14ac:dyDescent="0.25">
      <c r="B12" s="39" t="s">
        <v>333</v>
      </c>
      <c r="C12" s="23" t="s">
        <v>341</v>
      </c>
    </row>
    <row r="13" spans="2:3" x14ac:dyDescent="0.25">
      <c r="B13" s="39" t="s">
        <v>334</v>
      </c>
      <c r="C13" s="23" t="s">
        <v>339</v>
      </c>
    </row>
    <row r="14" spans="2:3" x14ac:dyDescent="0.25">
      <c r="B14" s="40" t="s">
        <v>335</v>
      </c>
      <c r="C14" s="24" t="s">
        <v>340</v>
      </c>
    </row>
    <row r="15" spans="2:3" x14ac:dyDescent="0.25">
      <c r="B15" s="16"/>
      <c r="C15" s="16"/>
    </row>
    <row r="16" spans="2:3" x14ac:dyDescent="0.25">
      <c r="B16" s="16"/>
      <c r="C16" s="16"/>
    </row>
    <row r="17" spans="2:4" x14ac:dyDescent="0.25">
      <c r="B17" s="36" t="s">
        <v>512</v>
      </c>
      <c r="C17" s="37" t="s">
        <v>511</v>
      </c>
    </row>
    <row r="18" spans="2:4" x14ac:dyDescent="0.25">
      <c r="B18" s="38" t="s">
        <v>499</v>
      </c>
      <c r="C18" s="25"/>
      <c r="D18">
        <v>1</v>
      </c>
    </row>
    <row r="19" spans="2:4" x14ac:dyDescent="0.25">
      <c r="B19" s="39" t="s">
        <v>500</v>
      </c>
      <c r="C19" s="23"/>
      <c r="D19">
        <v>2</v>
      </c>
    </row>
    <row r="20" spans="2:4" x14ac:dyDescent="0.25">
      <c r="B20" s="39" t="s">
        <v>501</v>
      </c>
      <c r="C20" s="23"/>
      <c r="D20">
        <v>3</v>
      </c>
    </row>
    <row r="21" spans="2:4" x14ac:dyDescent="0.25">
      <c r="B21" s="39" t="s">
        <v>503</v>
      </c>
      <c r="C21" s="23"/>
      <c r="D21">
        <v>4</v>
      </c>
    </row>
    <row r="22" spans="2:4" x14ac:dyDescent="0.25">
      <c r="B22" s="39" t="s">
        <v>502</v>
      </c>
      <c r="C22" s="23"/>
      <c r="D22">
        <v>5</v>
      </c>
    </row>
    <row r="23" spans="2:4" x14ac:dyDescent="0.25">
      <c r="B23" s="39" t="s">
        <v>504</v>
      </c>
      <c r="C23" s="23"/>
      <c r="D23">
        <v>6</v>
      </c>
    </row>
    <row r="24" spans="2:4" x14ac:dyDescent="0.25">
      <c r="B24" s="39" t="s">
        <v>498</v>
      </c>
      <c r="C24" s="23"/>
      <c r="D24">
        <v>7</v>
      </c>
    </row>
    <row r="25" spans="2:4" x14ac:dyDescent="0.25">
      <c r="B25" s="39" t="s">
        <v>505</v>
      </c>
      <c r="C25" s="23"/>
      <c r="D25">
        <v>8</v>
      </c>
    </row>
    <row r="26" spans="2:4" x14ac:dyDescent="0.25">
      <c r="B26" s="39" t="s">
        <v>506</v>
      </c>
      <c r="C26" s="23"/>
      <c r="D26">
        <v>9</v>
      </c>
    </row>
    <row r="27" spans="2:4" x14ac:dyDescent="0.25">
      <c r="B27" s="39" t="s">
        <v>507</v>
      </c>
      <c r="C27" s="23"/>
      <c r="D27">
        <v>10</v>
      </c>
    </row>
    <row r="28" spans="2:4" x14ac:dyDescent="0.25">
      <c r="B28" s="39" t="s">
        <v>508</v>
      </c>
      <c r="C28" s="23"/>
      <c r="D28">
        <v>11</v>
      </c>
    </row>
    <row r="29" spans="2:4" x14ac:dyDescent="0.25">
      <c r="B29" s="39" t="s">
        <v>509</v>
      </c>
      <c r="C29" s="23"/>
      <c r="D29">
        <v>12</v>
      </c>
    </row>
    <row r="30" spans="2:4" x14ac:dyDescent="0.25">
      <c r="B30" s="39" t="s">
        <v>534</v>
      </c>
      <c r="C30" s="23"/>
      <c r="D30">
        <v>13</v>
      </c>
    </row>
    <row r="31" spans="2:4" x14ac:dyDescent="0.25">
      <c r="B31" s="39" t="s">
        <v>510</v>
      </c>
      <c r="C31" s="23"/>
      <c r="D31">
        <v>14</v>
      </c>
    </row>
    <row r="32" spans="2:4" x14ac:dyDescent="0.25">
      <c r="B32" s="39" t="s">
        <v>708</v>
      </c>
      <c r="C32" s="23"/>
      <c r="D32">
        <v>15</v>
      </c>
    </row>
    <row r="33" spans="1:4" x14ac:dyDescent="0.25">
      <c r="B33" s="39" t="s">
        <v>536</v>
      </c>
      <c r="C33" s="23"/>
      <c r="D33">
        <v>16</v>
      </c>
    </row>
    <row r="34" spans="1:4" x14ac:dyDescent="0.25">
      <c r="B34" s="39" t="s">
        <v>537</v>
      </c>
      <c r="C34" s="23"/>
      <c r="D34">
        <v>17</v>
      </c>
    </row>
    <row r="35" spans="1:4" x14ac:dyDescent="0.25">
      <c r="B35" s="39" t="s">
        <v>538</v>
      </c>
      <c r="C35" s="23"/>
      <c r="D35">
        <v>18</v>
      </c>
    </row>
    <row r="36" spans="1:4" x14ac:dyDescent="0.25">
      <c r="B36" s="39" t="s">
        <v>539</v>
      </c>
      <c r="C36" s="23"/>
      <c r="D36">
        <v>19</v>
      </c>
    </row>
    <row r="37" spans="1:4" x14ac:dyDescent="0.25">
      <c r="B37" s="39" t="s">
        <v>540</v>
      </c>
      <c r="C37" s="23"/>
      <c r="D37">
        <v>20</v>
      </c>
    </row>
    <row r="38" spans="1:4" x14ac:dyDescent="0.25">
      <c r="B38" s="39" t="s">
        <v>541</v>
      </c>
      <c r="C38" s="23"/>
      <c r="D38">
        <v>21</v>
      </c>
    </row>
    <row r="39" spans="1:4" x14ac:dyDescent="0.25">
      <c r="B39" s="39" t="s">
        <v>542</v>
      </c>
      <c r="C39" s="23"/>
      <c r="D39">
        <v>22</v>
      </c>
    </row>
    <row r="40" spans="1:4" x14ac:dyDescent="0.25">
      <c r="B40" s="39" t="s">
        <v>543</v>
      </c>
      <c r="C40" s="23"/>
      <c r="D40">
        <v>23</v>
      </c>
    </row>
    <row r="41" spans="1:4" x14ac:dyDescent="0.25">
      <c r="B41" s="39" t="s">
        <v>544</v>
      </c>
      <c r="C41" s="23"/>
      <c r="D41">
        <v>24</v>
      </c>
    </row>
    <row r="42" spans="1:4" x14ac:dyDescent="0.25">
      <c r="B42" s="39" t="s">
        <v>545</v>
      </c>
      <c r="C42" s="23"/>
      <c r="D42">
        <v>25</v>
      </c>
    </row>
    <row r="43" spans="1:4" x14ac:dyDescent="0.25">
      <c r="B43" s="39" t="s">
        <v>549</v>
      </c>
      <c r="C43" s="23"/>
      <c r="D43">
        <v>26</v>
      </c>
    </row>
    <row r="44" spans="1:4" x14ac:dyDescent="0.25">
      <c r="B44" s="39" t="s">
        <v>550</v>
      </c>
      <c r="C44" s="23"/>
      <c r="D44">
        <v>27</v>
      </c>
    </row>
    <row r="45" spans="1:4" x14ac:dyDescent="0.25">
      <c r="B45" s="39" t="s">
        <v>551</v>
      </c>
      <c r="C45" s="23"/>
      <c r="D45">
        <v>28</v>
      </c>
    </row>
    <row r="46" spans="1:4" x14ac:dyDescent="0.25">
      <c r="B46" s="40" t="s">
        <v>552</v>
      </c>
      <c r="C46" s="24"/>
      <c r="D46">
        <v>29</v>
      </c>
    </row>
    <row r="48" spans="1:4" x14ac:dyDescent="0.25">
      <c r="A48">
        <f>VLOOKUP(B48,KeywordGroupsLookup,3)</f>
        <v>1</v>
      </c>
      <c r="B48" s="42" t="s">
        <v>499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44"/>
  <sheetViews>
    <sheetView zoomScale="85" zoomScaleNormal="85" workbookViewId="0">
      <pane ySplit="1" topLeftCell="A44" activePane="bottomLeft" state="frozen"/>
      <selection pane="bottomLeft" activeCell="A27" sqref="A27"/>
    </sheetView>
  </sheetViews>
  <sheetFormatPr defaultColWidth="46.85546875" defaultRowHeight="15" x14ac:dyDescent="0.25"/>
  <cols>
    <col min="1" max="1" width="41.140625" style="15" bestFit="1" customWidth="1"/>
    <col min="2" max="2" width="21.42578125" style="15" bestFit="1" customWidth="1"/>
    <col min="3" max="3" width="12.85546875" style="15" bestFit="1" customWidth="1"/>
    <col min="4" max="4" width="18" style="15" bestFit="1" customWidth="1"/>
    <col min="5" max="5" width="12.85546875" style="16" bestFit="1" customWidth="1"/>
    <col min="6" max="6" width="15.7109375" style="16" customWidth="1"/>
    <col min="7" max="7" width="76.28515625" style="16" customWidth="1"/>
    <col min="8" max="8" width="9.42578125" style="16" bestFit="1" customWidth="1"/>
    <col min="9" max="9" width="36.85546875" style="16" customWidth="1"/>
    <col min="10" max="16384" width="46.85546875" style="16"/>
  </cols>
  <sheetData>
    <row r="1" spans="1:9" x14ac:dyDescent="0.25">
      <c r="A1" s="20" t="s">
        <v>146</v>
      </c>
      <c r="B1" s="20" t="s">
        <v>497</v>
      </c>
      <c r="C1" s="20" t="s">
        <v>553</v>
      </c>
      <c r="D1" s="20" t="s">
        <v>323</v>
      </c>
      <c r="E1" s="19" t="s">
        <v>336</v>
      </c>
      <c r="F1" s="19" t="s">
        <v>575</v>
      </c>
      <c r="G1" s="19" t="s">
        <v>496</v>
      </c>
      <c r="H1" s="19" t="s">
        <v>922</v>
      </c>
      <c r="I1" s="19" t="s">
        <v>9</v>
      </c>
    </row>
    <row r="2" spans="1:9" x14ac:dyDescent="0.25">
      <c r="A2" s="15" t="s">
        <v>70</v>
      </c>
      <c r="B2" s="15" t="s">
        <v>498</v>
      </c>
      <c r="C2" s="43">
        <f>VLOOKUP($B2,KeywordGroupsLookup,3,FALSE)</f>
        <v>7</v>
      </c>
      <c r="D2" s="15" t="s">
        <v>321</v>
      </c>
      <c r="E2" s="16" t="s">
        <v>333</v>
      </c>
      <c r="F2" s="16" t="s">
        <v>139</v>
      </c>
      <c r="G2" s="16" t="s">
        <v>620</v>
      </c>
      <c r="H2" s="46">
        <f>LEN($I2)</f>
        <v>43</v>
      </c>
      <c r="I2" s="16" t="s">
        <v>619</v>
      </c>
    </row>
    <row r="3" spans="1:9" x14ac:dyDescent="0.25">
      <c r="A3" s="15" t="s">
        <v>71</v>
      </c>
      <c r="B3" s="15" t="s">
        <v>498</v>
      </c>
      <c r="C3" s="43">
        <f>VLOOKUP($B3,KeywordGroupsLookup,3,FALSE)</f>
        <v>7</v>
      </c>
      <c r="D3" s="15" t="s">
        <v>321</v>
      </c>
      <c r="E3" s="16" t="s">
        <v>333</v>
      </c>
      <c r="F3" s="16" t="s">
        <v>139</v>
      </c>
      <c r="G3" s="16" t="s">
        <v>620</v>
      </c>
      <c r="H3" s="46">
        <f>LEN($I3)</f>
        <v>54</v>
      </c>
      <c r="I3" s="16" t="s">
        <v>621</v>
      </c>
    </row>
    <row r="4" spans="1:9" x14ac:dyDescent="0.25">
      <c r="A4" s="15" t="s">
        <v>262</v>
      </c>
      <c r="B4" s="15" t="s">
        <v>541</v>
      </c>
      <c r="C4" s="43">
        <f>VLOOKUP($B4,KeywordGroupsLookup,3,FALSE)</f>
        <v>21</v>
      </c>
      <c r="D4" s="15" t="s">
        <v>322</v>
      </c>
      <c r="E4" s="16" t="s">
        <v>335</v>
      </c>
      <c r="F4" s="16" t="s">
        <v>554</v>
      </c>
      <c r="G4" s="16" t="s">
        <v>785</v>
      </c>
      <c r="H4" s="46">
        <f>LEN($I4)</f>
        <v>49</v>
      </c>
      <c r="I4" s="16" t="s">
        <v>783</v>
      </c>
    </row>
    <row r="5" spans="1:9" x14ac:dyDescent="0.25">
      <c r="A5" s="15" t="s">
        <v>218</v>
      </c>
      <c r="B5" s="15" t="s">
        <v>510</v>
      </c>
      <c r="C5" s="43">
        <f>VLOOKUP($B5,KeywordGroupsLookup,3,FALSE)</f>
        <v>14</v>
      </c>
      <c r="D5" s="15" t="s">
        <v>322</v>
      </c>
      <c r="E5" s="16" t="s">
        <v>335</v>
      </c>
      <c r="F5" s="16" t="s">
        <v>554</v>
      </c>
      <c r="G5" s="16" t="s">
        <v>693</v>
      </c>
      <c r="H5" s="46">
        <f>LEN($I5)</f>
        <v>116</v>
      </c>
      <c r="I5" s="16" t="s">
        <v>692</v>
      </c>
    </row>
    <row r="6" spans="1:9" x14ac:dyDescent="0.25">
      <c r="A6" s="15" t="s">
        <v>263</v>
      </c>
      <c r="B6" s="15" t="s">
        <v>541</v>
      </c>
      <c r="C6" s="43">
        <f>VLOOKUP($B6,KeywordGroupsLookup,3,FALSE)</f>
        <v>21</v>
      </c>
      <c r="D6" s="15" t="s">
        <v>322</v>
      </c>
      <c r="E6" s="16" t="s">
        <v>335</v>
      </c>
      <c r="F6" s="16" t="s">
        <v>554</v>
      </c>
      <c r="G6" s="16" t="s">
        <v>786</v>
      </c>
      <c r="H6" s="46">
        <f>LEN($I6)</f>
        <v>53</v>
      </c>
      <c r="I6" s="16" t="s">
        <v>784</v>
      </c>
    </row>
    <row r="7" spans="1:9" x14ac:dyDescent="0.25">
      <c r="A7" s="15" t="s">
        <v>309</v>
      </c>
      <c r="B7" s="15" t="s">
        <v>545</v>
      </c>
      <c r="C7" s="43">
        <f>VLOOKUP($B7,KeywordGroupsLookup,3,FALSE)</f>
        <v>25</v>
      </c>
      <c r="D7" s="15" t="s">
        <v>322</v>
      </c>
      <c r="E7" s="16" t="s">
        <v>335</v>
      </c>
      <c r="F7" s="16" t="s">
        <v>554</v>
      </c>
      <c r="G7" s="16" t="s">
        <v>855</v>
      </c>
      <c r="H7" s="46">
        <f>LEN($I7)</f>
        <v>77</v>
      </c>
      <c r="I7" s="16" t="s">
        <v>854</v>
      </c>
    </row>
    <row r="8" spans="1:9" x14ac:dyDescent="0.25">
      <c r="A8" s="15" t="s">
        <v>109</v>
      </c>
      <c r="B8" s="15" t="s">
        <v>507</v>
      </c>
      <c r="C8" s="43">
        <f>VLOOKUP($B8,KeywordGroupsLookup,3,FALSE)</f>
        <v>10</v>
      </c>
      <c r="D8" s="15" t="s">
        <v>322</v>
      </c>
      <c r="E8" s="16" t="s">
        <v>335</v>
      </c>
      <c r="F8" s="16" t="s">
        <v>554</v>
      </c>
      <c r="G8" s="16" t="s">
        <v>668</v>
      </c>
      <c r="H8" s="46">
        <f>LEN($I8)</f>
        <v>36</v>
      </c>
      <c r="I8" s="16" t="s">
        <v>669</v>
      </c>
    </row>
    <row r="9" spans="1:9" x14ac:dyDescent="0.25">
      <c r="A9" s="15" t="s">
        <v>110</v>
      </c>
      <c r="B9" s="15" t="s">
        <v>507</v>
      </c>
      <c r="C9" s="43">
        <f>VLOOKUP($B9,KeywordGroupsLookup,3,FALSE)</f>
        <v>10</v>
      </c>
      <c r="D9" s="15" t="s">
        <v>322</v>
      </c>
      <c r="E9" s="16" t="s">
        <v>335</v>
      </c>
      <c r="F9" s="16" t="s">
        <v>577</v>
      </c>
      <c r="G9" s="16" t="s">
        <v>670</v>
      </c>
      <c r="H9" s="46">
        <f>LEN($I9)</f>
        <v>63</v>
      </c>
      <c r="I9" s="16" t="s">
        <v>671</v>
      </c>
    </row>
    <row r="10" spans="1:9" x14ac:dyDescent="0.25">
      <c r="A10" s="15" t="s">
        <v>72</v>
      </c>
      <c r="B10" s="15" t="s">
        <v>498</v>
      </c>
      <c r="C10" s="43">
        <f>VLOOKUP($B10,KeywordGroupsLookup,3,FALSE)</f>
        <v>7</v>
      </c>
      <c r="D10" s="15" t="s">
        <v>321</v>
      </c>
      <c r="E10" s="16" t="s">
        <v>333</v>
      </c>
      <c r="F10" s="16" t="s">
        <v>139</v>
      </c>
      <c r="G10" s="16" t="s">
        <v>620</v>
      </c>
      <c r="H10" s="46">
        <f>LEN($I10)</f>
        <v>52</v>
      </c>
      <c r="I10" s="16" t="s">
        <v>622</v>
      </c>
    </row>
    <row r="11" spans="1:9" x14ac:dyDescent="0.25">
      <c r="A11" s="15" t="s">
        <v>265</v>
      </c>
      <c r="B11" s="15" t="s">
        <v>541</v>
      </c>
      <c r="C11" s="43">
        <f>VLOOKUP($B11,KeywordGroupsLookup,3,FALSE)</f>
        <v>21</v>
      </c>
      <c r="D11" s="15" t="s">
        <v>322</v>
      </c>
      <c r="E11" s="16" t="s">
        <v>335</v>
      </c>
      <c r="F11" s="16" t="s">
        <v>577</v>
      </c>
      <c r="G11" s="16" t="s">
        <v>790</v>
      </c>
      <c r="H11" s="46">
        <f>LEN($I11)</f>
        <v>67</v>
      </c>
      <c r="I11" s="16" t="s">
        <v>789</v>
      </c>
    </row>
    <row r="12" spans="1:9" x14ac:dyDescent="0.25">
      <c r="A12" s="15" t="s">
        <v>264</v>
      </c>
      <c r="B12" s="15" t="s">
        <v>541</v>
      </c>
      <c r="C12" s="43">
        <f>VLOOKUP($B12,KeywordGroupsLookup,3,FALSE)</f>
        <v>21</v>
      </c>
      <c r="D12" s="15" t="s">
        <v>322</v>
      </c>
      <c r="E12" s="16" t="s">
        <v>335</v>
      </c>
      <c r="F12" s="16" t="s">
        <v>554</v>
      </c>
      <c r="G12" s="16" t="s">
        <v>787</v>
      </c>
      <c r="H12" s="46">
        <f>LEN($I12)</f>
        <v>79</v>
      </c>
      <c r="I12" s="16" t="s">
        <v>788</v>
      </c>
    </row>
    <row r="13" spans="1:9" x14ac:dyDescent="0.25">
      <c r="A13" s="15" t="s">
        <v>73</v>
      </c>
      <c r="B13" s="15" t="s">
        <v>498</v>
      </c>
      <c r="C13" s="43">
        <f>VLOOKUP($B13,KeywordGroupsLookup,3,FALSE)</f>
        <v>7</v>
      </c>
      <c r="D13" s="15" t="s">
        <v>321</v>
      </c>
      <c r="E13" s="16" t="s">
        <v>333</v>
      </c>
      <c r="F13" s="16" t="s">
        <v>139</v>
      </c>
      <c r="G13" s="16" t="s">
        <v>620</v>
      </c>
      <c r="H13" s="46">
        <f>LEN($I13)</f>
        <v>94</v>
      </c>
      <c r="I13" s="16" t="s">
        <v>623</v>
      </c>
    </row>
    <row r="14" spans="1:9" x14ac:dyDescent="0.25">
      <c r="A14" s="15" t="s">
        <v>114</v>
      </c>
      <c r="B14" s="15" t="s">
        <v>508</v>
      </c>
      <c r="C14" s="43">
        <f>VLOOKUP($B14,KeywordGroupsLookup,3,FALSE)</f>
        <v>11</v>
      </c>
      <c r="D14" s="15" t="s">
        <v>322</v>
      </c>
      <c r="E14" s="16" t="s">
        <v>335</v>
      </c>
      <c r="F14" s="16" t="s">
        <v>554</v>
      </c>
      <c r="G14" s="16" t="s">
        <v>676</v>
      </c>
      <c r="H14" s="46">
        <f>LEN($I14)</f>
        <v>65</v>
      </c>
      <c r="I14" s="16" t="s">
        <v>677</v>
      </c>
    </row>
    <row r="15" spans="1:9" x14ac:dyDescent="0.25">
      <c r="A15" s="15" t="s">
        <v>115</v>
      </c>
      <c r="B15" s="15" t="s">
        <v>508</v>
      </c>
      <c r="C15" s="43">
        <f>VLOOKUP($B15,KeywordGroupsLookup,3,FALSE)</f>
        <v>11</v>
      </c>
      <c r="D15" s="15" t="s">
        <v>322</v>
      </c>
      <c r="E15" s="16" t="s">
        <v>335</v>
      </c>
      <c r="F15" s="16" t="s">
        <v>554</v>
      </c>
      <c r="G15" s="16" t="s">
        <v>678</v>
      </c>
      <c r="H15" s="46">
        <f>LEN($I15)</f>
        <v>125</v>
      </c>
      <c r="I15" s="16" t="s">
        <v>679</v>
      </c>
    </row>
    <row r="16" spans="1:9" x14ac:dyDescent="0.25">
      <c r="A16" s="15" t="s">
        <v>46</v>
      </c>
      <c r="B16" s="15" t="s">
        <v>501</v>
      </c>
      <c r="C16" s="43">
        <f>VLOOKUP($B16,KeywordGroupsLookup,3,FALSE)</f>
        <v>3</v>
      </c>
      <c r="D16" s="15" t="s">
        <v>321</v>
      </c>
      <c r="E16" s="16" t="s">
        <v>333</v>
      </c>
      <c r="F16" s="16" t="s">
        <v>139</v>
      </c>
      <c r="G16" s="16" t="s">
        <v>581</v>
      </c>
      <c r="H16" s="46">
        <f>LEN($I16)</f>
        <v>73</v>
      </c>
      <c r="I16" s="16" t="s">
        <v>582</v>
      </c>
    </row>
    <row r="17" spans="1:9" x14ac:dyDescent="0.25">
      <c r="A17" s="15" t="s">
        <v>116</v>
      </c>
      <c r="B17" s="15" t="s">
        <v>508</v>
      </c>
      <c r="C17" s="43">
        <f>VLOOKUP($B17,KeywordGroupsLookup,3,FALSE)</f>
        <v>11</v>
      </c>
      <c r="D17" s="15" t="s">
        <v>322</v>
      </c>
      <c r="E17" s="16" t="s">
        <v>335</v>
      </c>
      <c r="F17" s="16" t="s">
        <v>554</v>
      </c>
      <c r="G17" s="16" t="s">
        <v>681</v>
      </c>
      <c r="H17" s="46">
        <f>LEN($I17)</f>
        <v>61</v>
      </c>
      <c r="I17" s="16" t="s">
        <v>680</v>
      </c>
    </row>
    <row r="18" spans="1:9" x14ac:dyDescent="0.25">
      <c r="A18" s="15" t="s">
        <v>117</v>
      </c>
      <c r="B18" s="15" t="s">
        <v>508</v>
      </c>
      <c r="C18" s="43">
        <f>VLOOKUP($B18,KeywordGroupsLookup,3,FALSE)</f>
        <v>11</v>
      </c>
      <c r="D18" s="15" t="s">
        <v>322</v>
      </c>
      <c r="E18" s="16" t="s">
        <v>335</v>
      </c>
      <c r="F18" s="16" t="s">
        <v>554</v>
      </c>
      <c r="G18" s="16" t="s">
        <v>683</v>
      </c>
      <c r="H18" s="46">
        <f>LEN($I18)</f>
        <v>60</v>
      </c>
      <c r="I18" s="16" t="s">
        <v>682</v>
      </c>
    </row>
    <row r="19" spans="1:9" x14ac:dyDescent="0.25">
      <c r="A19" s="15" t="s">
        <v>47</v>
      </c>
      <c r="B19" s="15" t="s">
        <v>501</v>
      </c>
      <c r="C19" s="43">
        <f>VLOOKUP($B19,KeywordGroupsLookup,3,FALSE)</f>
        <v>3</v>
      </c>
      <c r="D19" s="15" t="s">
        <v>321</v>
      </c>
      <c r="E19" s="16" t="s">
        <v>333</v>
      </c>
      <c r="F19" s="16" t="s">
        <v>142</v>
      </c>
      <c r="G19" s="16" t="s">
        <v>581</v>
      </c>
      <c r="H19" s="46">
        <f>LEN($I19)</f>
        <v>72</v>
      </c>
      <c r="I19" s="16" t="s">
        <v>583</v>
      </c>
    </row>
    <row r="20" spans="1:9" x14ac:dyDescent="0.25">
      <c r="A20" s="15" t="s">
        <v>272</v>
      </c>
      <c r="B20" s="15" t="s">
        <v>542</v>
      </c>
      <c r="C20" s="43">
        <f>VLOOKUP($B20,KeywordGroupsLookup,3,FALSE)</f>
        <v>22</v>
      </c>
      <c r="D20" s="15" t="s">
        <v>322</v>
      </c>
      <c r="E20" s="16" t="s">
        <v>335</v>
      </c>
      <c r="F20" s="16" t="s">
        <v>554</v>
      </c>
      <c r="G20" s="16" t="s">
        <v>800</v>
      </c>
      <c r="H20" s="46">
        <f>LEN($I20)</f>
        <v>61</v>
      </c>
      <c r="I20" s="16" t="s">
        <v>799</v>
      </c>
    </row>
    <row r="21" spans="1:9" x14ac:dyDescent="0.25">
      <c r="A21" s="15" t="s">
        <v>273</v>
      </c>
      <c r="B21" s="15" t="s">
        <v>542</v>
      </c>
      <c r="C21" s="43">
        <f>VLOOKUP($B21,KeywordGroupsLookup,3,FALSE)</f>
        <v>22</v>
      </c>
      <c r="D21" s="15" t="s">
        <v>321</v>
      </c>
      <c r="E21" s="16" t="s">
        <v>335</v>
      </c>
      <c r="F21" s="16" t="s">
        <v>554</v>
      </c>
      <c r="G21" s="16" t="s">
        <v>800</v>
      </c>
      <c r="H21" s="46">
        <f>LEN($I21)</f>
        <v>381</v>
      </c>
      <c r="I21" s="16" t="s">
        <v>801</v>
      </c>
    </row>
    <row r="22" spans="1:9" x14ac:dyDescent="0.25">
      <c r="A22" s="15" t="s">
        <v>274</v>
      </c>
      <c r="B22" s="15" t="s">
        <v>542</v>
      </c>
      <c r="C22" s="43">
        <f>VLOOKUP($B22,KeywordGroupsLookup,3,FALSE)</f>
        <v>22</v>
      </c>
      <c r="D22" s="15" t="s">
        <v>146</v>
      </c>
      <c r="E22" s="16" t="s">
        <v>335</v>
      </c>
      <c r="F22" s="16" t="s">
        <v>554</v>
      </c>
      <c r="G22" s="16" t="s">
        <v>554</v>
      </c>
      <c r="H22" s="46">
        <f>LEN($I22)</f>
        <v>36</v>
      </c>
      <c r="I22" s="16" t="s">
        <v>802</v>
      </c>
    </row>
    <row r="23" spans="1:9" x14ac:dyDescent="0.25">
      <c r="A23" s="15" t="s">
        <v>90</v>
      </c>
      <c r="B23" s="15" t="s">
        <v>505</v>
      </c>
      <c r="C23" s="43">
        <f>VLOOKUP($B23,KeywordGroupsLookup,3,FALSE)</f>
        <v>8</v>
      </c>
      <c r="D23" s="15" t="s">
        <v>321</v>
      </c>
      <c r="E23" s="16" t="s">
        <v>333</v>
      </c>
      <c r="F23" s="16" t="s">
        <v>142</v>
      </c>
      <c r="G23" s="16" t="s">
        <v>644</v>
      </c>
      <c r="H23" s="46">
        <f>LEN($I23)</f>
        <v>63</v>
      </c>
      <c r="I23" s="16" t="s">
        <v>643</v>
      </c>
    </row>
    <row r="24" spans="1:9" x14ac:dyDescent="0.25">
      <c r="A24" s="15" t="s">
        <v>219</v>
      </c>
      <c r="B24" s="15" t="s">
        <v>510</v>
      </c>
      <c r="C24" s="43">
        <f>VLOOKUP($B24,KeywordGroupsLookup,3,FALSE)</f>
        <v>14</v>
      </c>
      <c r="D24" s="15" t="s">
        <v>321</v>
      </c>
      <c r="E24" s="16" t="s">
        <v>335</v>
      </c>
      <c r="F24" s="16" t="s">
        <v>139</v>
      </c>
      <c r="G24" s="44" t="s">
        <v>716</v>
      </c>
      <c r="H24" s="46">
        <f>LEN($I24)</f>
        <v>57</v>
      </c>
      <c r="I24" s="16" t="s">
        <v>694</v>
      </c>
    </row>
    <row r="25" spans="1:9" x14ac:dyDescent="0.25">
      <c r="A25" s="15" t="s">
        <v>220</v>
      </c>
      <c r="B25" s="15" t="s">
        <v>510</v>
      </c>
      <c r="C25" s="43">
        <f>VLOOKUP($B25,KeywordGroupsLookup,3,FALSE)</f>
        <v>14</v>
      </c>
      <c r="D25" s="15" t="s">
        <v>321</v>
      </c>
      <c r="E25" s="16" t="s">
        <v>335</v>
      </c>
      <c r="F25" s="16" t="s">
        <v>142</v>
      </c>
      <c r="G25" s="44" t="s">
        <v>716</v>
      </c>
      <c r="H25" s="46">
        <f>LEN($I25)</f>
        <v>56</v>
      </c>
      <c r="I25" s="16" t="s">
        <v>695</v>
      </c>
    </row>
    <row r="26" spans="1:9" x14ac:dyDescent="0.25">
      <c r="A26" s="15" t="s">
        <v>221</v>
      </c>
      <c r="B26" s="15" t="s">
        <v>510</v>
      </c>
      <c r="C26" s="43">
        <f>VLOOKUP($B26,KeywordGroupsLookup,3,FALSE)</f>
        <v>14</v>
      </c>
      <c r="D26" s="15" t="s">
        <v>321</v>
      </c>
      <c r="E26" s="16" t="s">
        <v>335</v>
      </c>
      <c r="F26" s="16" t="s">
        <v>577</v>
      </c>
      <c r="G26" s="44" t="s">
        <v>716</v>
      </c>
      <c r="H26" s="46">
        <f>LEN($I26)</f>
        <v>66</v>
      </c>
      <c r="I26" s="16" t="s">
        <v>696</v>
      </c>
    </row>
    <row r="27" spans="1:9" x14ac:dyDescent="0.25">
      <c r="A27" s="15" t="s">
        <v>222</v>
      </c>
      <c r="B27" s="15" t="s">
        <v>510</v>
      </c>
      <c r="C27" s="43">
        <f>VLOOKUP($B27,KeywordGroupsLookup,3,FALSE)</f>
        <v>14</v>
      </c>
      <c r="D27" s="15" t="s">
        <v>322</v>
      </c>
      <c r="E27" s="16" t="s">
        <v>335</v>
      </c>
      <c r="F27" s="16" t="s">
        <v>554</v>
      </c>
      <c r="G27" s="44" t="s">
        <v>717</v>
      </c>
      <c r="H27" s="46">
        <f>LEN($I27)</f>
        <v>51</v>
      </c>
      <c r="I27" s="16" t="s">
        <v>697</v>
      </c>
    </row>
    <row r="28" spans="1:9" x14ac:dyDescent="0.25">
      <c r="A28" s="15" t="s">
        <v>223</v>
      </c>
      <c r="B28" s="15" t="s">
        <v>510</v>
      </c>
      <c r="C28" s="43">
        <f>VLOOKUP($B28,KeywordGroupsLookup,3,FALSE)</f>
        <v>14</v>
      </c>
      <c r="D28" s="15" t="s">
        <v>322</v>
      </c>
      <c r="E28" s="16" t="s">
        <v>335</v>
      </c>
      <c r="F28" s="16" t="s">
        <v>554</v>
      </c>
      <c r="G28" s="44" t="s">
        <v>717</v>
      </c>
      <c r="H28" s="46">
        <f>LEN($I28)</f>
        <v>115</v>
      </c>
      <c r="I28" s="16" t="s">
        <v>698</v>
      </c>
    </row>
    <row r="29" spans="1:9" x14ac:dyDescent="0.25">
      <c r="A29" s="15" t="s">
        <v>224</v>
      </c>
      <c r="B29" s="15" t="s">
        <v>510</v>
      </c>
      <c r="C29" s="43">
        <f>VLOOKUP($B29,KeywordGroupsLookup,3,FALSE)</f>
        <v>14</v>
      </c>
      <c r="D29" s="15" t="s">
        <v>322</v>
      </c>
      <c r="E29" s="16" t="s">
        <v>335</v>
      </c>
      <c r="F29" s="16" t="s">
        <v>554</v>
      </c>
      <c r="G29" s="44" t="s">
        <v>718</v>
      </c>
      <c r="H29" s="46">
        <f>LEN($I29)</f>
        <v>50</v>
      </c>
      <c r="I29" s="16" t="s">
        <v>699</v>
      </c>
    </row>
    <row r="30" spans="1:9" x14ac:dyDescent="0.25">
      <c r="A30" s="15" t="s">
        <v>91</v>
      </c>
      <c r="B30" s="15" t="s">
        <v>505</v>
      </c>
      <c r="C30" s="43">
        <f>VLOOKUP($B30,KeywordGroupsLookup,3,FALSE)</f>
        <v>8</v>
      </c>
      <c r="D30" s="15" t="s">
        <v>321</v>
      </c>
      <c r="E30" s="16" t="s">
        <v>333</v>
      </c>
      <c r="F30" s="16" t="s">
        <v>597</v>
      </c>
      <c r="G30" s="16" t="s">
        <v>645</v>
      </c>
      <c r="H30" s="46">
        <f>LEN($I30)</f>
        <v>68</v>
      </c>
      <c r="I30" s="16" t="s">
        <v>646</v>
      </c>
    </row>
    <row r="31" spans="1:9" x14ac:dyDescent="0.25">
      <c r="A31" s="15" t="s">
        <v>118</v>
      </c>
      <c r="B31" s="15" t="s">
        <v>509</v>
      </c>
      <c r="C31" s="43">
        <f>VLOOKUP($B31,KeywordGroupsLookup,3,FALSE)</f>
        <v>12</v>
      </c>
      <c r="D31" s="15" t="s">
        <v>146</v>
      </c>
      <c r="E31" s="16" t="s">
        <v>335</v>
      </c>
      <c r="F31" s="16" t="s">
        <v>554</v>
      </c>
      <c r="G31" s="16" t="s">
        <v>554</v>
      </c>
      <c r="H31" s="46">
        <f>LEN($I31)</f>
        <v>108</v>
      </c>
      <c r="I31" s="16" t="s">
        <v>684</v>
      </c>
    </row>
    <row r="32" spans="1:9" x14ac:dyDescent="0.25">
      <c r="A32" s="15" t="s">
        <v>92</v>
      </c>
      <c r="B32" s="15" t="s">
        <v>505</v>
      </c>
      <c r="C32" s="43">
        <f>VLOOKUP($B32,KeywordGroupsLookup,3,FALSE)</f>
        <v>8</v>
      </c>
      <c r="D32" s="15" t="s">
        <v>321</v>
      </c>
      <c r="E32" s="16" t="s">
        <v>333</v>
      </c>
      <c r="F32" s="16" t="s">
        <v>579</v>
      </c>
      <c r="G32" s="16" t="s">
        <v>648</v>
      </c>
      <c r="H32" s="46">
        <f>LEN($I32)</f>
        <v>78</v>
      </c>
      <c r="I32" s="16" t="s">
        <v>647</v>
      </c>
    </row>
    <row r="33" spans="1:9" x14ac:dyDescent="0.25">
      <c r="A33" s="15" t="s">
        <v>48</v>
      </c>
      <c r="B33" s="15" t="s">
        <v>501</v>
      </c>
      <c r="C33" s="43">
        <f>VLOOKUP($B33,KeywordGroupsLookup,3,FALSE)</f>
        <v>3</v>
      </c>
      <c r="D33" s="15" t="s">
        <v>321</v>
      </c>
      <c r="E33" s="16" t="s">
        <v>334</v>
      </c>
      <c r="F33" s="16" t="s">
        <v>139</v>
      </c>
      <c r="G33" s="16" t="s">
        <v>587</v>
      </c>
      <c r="H33" s="46">
        <f>LEN($I33)</f>
        <v>335</v>
      </c>
      <c r="I33" s="16" t="s">
        <v>584</v>
      </c>
    </row>
    <row r="34" spans="1:9" x14ac:dyDescent="0.25">
      <c r="A34" s="16" t="s">
        <v>329</v>
      </c>
      <c r="B34" s="16" t="s">
        <v>534</v>
      </c>
      <c r="C34" s="43">
        <f>VLOOKUP($B34,KeywordGroupsLookup,3,FALSE)</f>
        <v>13</v>
      </c>
      <c r="D34" s="15" t="s">
        <v>321</v>
      </c>
      <c r="E34" s="16" t="s">
        <v>333</v>
      </c>
      <c r="F34" s="16" t="s">
        <v>139</v>
      </c>
      <c r="G34" s="16" t="s">
        <v>688</v>
      </c>
      <c r="H34" s="46">
        <f>LEN($I34)</f>
        <v>89</v>
      </c>
      <c r="I34" s="16" t="s">
        <v>691</v>
      </c>
    </row>
    <row r="35" spans="1:9" x14ac:dyDescent="0.25">
      <c r="A35" s="16" t="s">
        <v>330</v>
      </c>
      <c r="B35" s="16" t="s">
        <v>534</v>
      </c>
      <c r="C35" s="43">
        <f>VLOOKUP($B35,KeywordGroupsLookup,3,FALSE)</f>
        <v>13</v>
      </c>
      <c r="D35" s="15" t="s">
        <v>321</v>
      </c>
      <c r="E35" s="16" t="s">
        <v>333</v>
      </c>
      <c r="F35" s="16" t="s">
        <v>139</v>
      </c>
      <c r="G35" s="16" t="s">
        <v>688</v>
      </c>
      <c r="H35" s="46">
        <f>LEN($I35)</f>
        <v>77</v>
      </c>
      <c r="I35" s="16" t="s">
        <v>690</v>
      </c>
    </row>
    <row r="36" spans="1:9" x14ac:dyDescent="0.25">
      <c r="A36" s="16" t="s">
        <v>327</v>
      </c>
      <c r="B36" s="16" t="s">
        <v>534</v>
      </c>
      <c r="C36" s="43">
        <f>VLOOKUP($B36,KeywordGroupsLookup,3,FALSE)</f>
        <v>13</v>
      </c>
      <c r="D36" s="15" t="s">
        <v>321</v>
      </c>
      <c r="E36" s="16" t="s">
        <v>333</v>
      </c>
      <c r="F36" s="16" t="s">
        <v>139</v>
      </c>
      <c r="G36" s="16" t="s">
        <v>688</v>
      </c>
      <c r="H36" s="46">
        <f>LEN($I36)</f>
        <v>89</v>
      </c>
      <c r="I36" s="16" t="s">
        <v>689</v>
      </c>
    </row>
    <row r="37" spans="1:9" x14ac:dyDescent="0.25">
      <c r="A37" s="16" t="s">
        <v>328</v>
      </c>
      <c r="B37" s="16" t="s">
        <v>534</v>
      </c>
      <c r="C37" s="43">
        <f>VLOOKUP($B37,KeywordGroupsLookup,3,FALSE)</f>
        <v>13</v>
      </c>
      <c r="D37" s="15" t="s">
        <v>321</v>
      </c>
      <c r="E37" s="16" t="s">
        <v>333</v>
      </c>
      <c r="F37" s="16" t="s">
        <v>139</v>
      </c>
      <c r="G37" s="16" t="s">
        <v>688</v>
      </c>
      <c r="H37" s="46">
        <f>LEN($I37)</f>
        <v>89</v>
      </c>
      <c r="I37" s="16" t="s">
        <v>687</v>
      </c>
    </row>
    <row r="38" spans="1:9" x14ac:dyDescent="0.25">
      <c r="A38" s="15" t="s">
        <v>67</v>
      </c>
      <c r="B38" s="15" t="s">
        <v>504</v>
      </c>
      <c r="C38" s="43">
        <f>VLOOKUP($B38,KeywordGroupsLookup,3,FALSE)</f>
        <v>6</v>
      </c>
      <c r="D38" s="15" t="s">
        <v>146</v>
      </c>
      <c r="E38" s="16" t="s">
        <v>334</v>
      </c>
      <c r="F38" s="16" t="s">
        <v>554</v>
      </c>
      <c r="G38" s="16" t="s">
        <v>554</v>
      </c>
      <c r="H38" s="46">
        <f>LEN($I38)</f>
        <v>202</v>
      </c>
      <c r="I38" s="16" t="s">
        <v>617</v>
      </c>
    </row>
    <row r="39" spans="1:9" x14ac:dyDescent="0.25">
      <c r="A39" s="15" t="s">
        <v>74</v>
      </c>
      <c r="B39" s="15" t="s">
        <v>498</v>
      </c>
      <c r="C39" s="43">
        <f>VLOOKUP($B39,KeywordGroupsLookup,3,FALSE)</f>
        <v>7</v>
      </c>
      <c r="D39" s="15" t="s">
        <v>321</v>
      </c>
      <c r="E39" s="16" t="s">
        <v>333</v>
      </c>
      <c r="F39" s="16" t="s">
        <v>139</v>
      </c>
      <c r="G39" s="16" t="s">
        <v>620</v>
      </c>
      <c r="H39" s="46">
        <f>LEN($I39)</f>
        <v>56</v>
      </c>
      <c r="I39" s="16" t="s">
        <v>624</v>
      </c>
    </row>
    <row r="40" spans="1:9" x14ac:dyDescent="0.25">
      <c r="A40" s="15" t="s">
        <v>225</v>
      </c>
      <c r="B40" s="15" t="s">
        <v>510</v>
      </c>
      <c r="C40" s="43">
        <f>VLOOKUP($B40,KeywordGroupsLookup,3,FALSE)</f>
        <v>14</v>
      </c>
      <c r="D40" s="15" t="s">
        <v>322</v>
      </c>
      <c r="E40" s="16" t="s">
        <v>335</v>
      </c>
      <c r="F40" s="16" t="s">
        <v>554</v>
      </c>
      <c r="G40" s="44" t="s">
        <v>701</v>
      </c>
      <c r="H40" s="46">
        <f>LEN($I40)</f>
        <v>38</v>
      </c>
      <c r="I40" s="16" t="s">
        <v>700</v>
      </c>
    </row>
    <row r="41" spans="1:9" x14ac:dyDescent="0.25">
      <c r="A41" s="15" t="s">
        <v>226</v>
      </c>
      <c r="B41" s="15" t="s">
        <v>510</v>
      </c>
      <c r="C41" s="43">
        <f>VLOOKUP($B41,KeywordGroupsLookup,3,FALSE)</f>
        <v>14</v>
      </c>
      <c r="D41" s="15" t="s">
        <v>322</v>
      </c>
      <c r="E41" s="16" t="s">
        <v>335</v>
      </c>
      <c r="F41" s="16" t="s">
        <v>554</v>
      </c>
      <c r="G41" s="16" t="s">
        <v>702</v>
      </c>
      <c r="H41" s="46">
        <f>LEN($I41)</f>
        <v>161</v>
      </c>
      <c r="I41" s="16" t="s">
        <v>703</v>
      </c>
    </row>
    <row r="42" spans="1:9" x14ac:dyDescent="0.25">
      <c r="A42" s="15" t="s">
        <v>233</v>
      </c>
      <c r="B42" s="15" t="s">
        <v>708</v>
      </c>
      <c r="C42" s="43">
        <f>VLOOKUP($B42,KeywordGroupsLookup,3,FALSE)</f>
        <v>15</v>
      </c>
      <c r="D42" s="15" t="s">
        <v>322</v>
      </c>
      <c r="E42" s="16" t="s">
        <v>335</v>
      </c>
      <c r="F42" s="16" t="s">
        <v>554</v>
      </c>
      <c r="G42" s="16" t="s">
        <v>715</v>
      </c>
      <c r="H42" s="46">
        <f>LEN($I42)</f>
        <v>67</v>
      </c>
      <c r="I42" s="16" t="s">
        <v>714</v>
      </c>
    </row>
    <row r="43" spans="1:9" x14ac:dyDescent="0.25">
      <c r="A43" s="15" t="s">
        <v>236</v>
      </c>
      <c r="B43" s="15" t="s">
        <v>708</v>
      </c>
      <c r="C43" s="43">
        <f>VLOOKUP($B43,KeywordGroupsLookup,3,FALSE)</f>
        <v>15</v>
      </c>
      <c r="D43" s="15" t="s">
        <v>321</v>
      </c>
      <c r="E43" s="16" t="s">
        <v>335</v>
      </c>
      <c r="F43" s="16" t="s">
        <v>142</v>
      </c>
      <c r="G43" s="16" t="s">
        <v>724</v>
      </c>
      <c r="H43" s="46">
        <f>LEN($I43)</f>
        <v>67</v>
      </c>
      <c r="I43" s="16" t="s">
        <v>723</v>
      </c>
    </row>
    <row r="44" spans="1:9" x14ac:dyDescent="0.25">
      <c r="A44" s="15" t="s">
        <v>237</v>
      </c>
      <c r="B44" s="15" t="s">
        <v>708</v>
      </c>
      <c r="C44" s="43">
        <f>VLOOKUP($B44,KeywordGroupsLookup,3,FALSE)</f>
        <v>15</v>
      </c>
      <c r="D44" s="15" t="s">
        <v>321</v>
      </c>
      <c r="E44" s="16" t="s">
        <v>335</v>
      </c>
      <c r="F44" s="16" t="s">
        <v>142</v>
      </c>
      <c r="G44" s="16" t="s">
        <v>726</v>
      </c>
      <c r="H44" s="46">
        <f>LEN($I44)</f>
        <v>110</v>
      </c>
      <c r="I44" s="16" t="s">
        <v>725</v>
      </c>
    </row>
    <row r="45" spans="1:9" x14ac:dyDescent="0.25">
      <c r="A45" s="15" t="s">
        <v>234</v>
      </c>
      <c r="B45" s="15" t="s">
        <v>708</v>
      </c>
      <c r="C45" s="43">
        <f>VLOOKUP($B45,KeywordGroupsLookup,3,FALSE)</f>
        <v>15</v>
      </c>
      <c r="D45" s="15" t="s">
        <v>322</v>
      </c>
      <c r="E45" s="16" t="s">
        <v>335</v>
      </c>
      <c r="F45" s="16" t="s">
        <v>554</v>
      </c>
      <c r="G45" s="16" t="s">
        <v>720</v>
      </c>
      <c r="H45" s="46">
        <f>LEN($I45)</f>
        <v>40</v>
      </c>
      <c r="I45" s="16" t="s">
        <v>719</v>
      </c>
    </row>
    <row r="46" spans="1:9" x14ac:dyDescent="0.25">
      <c r="A46" s="15" t="s">
        <v>235</v>
      </c>
      <c r="B46" s="15" t="s">
        <v>708</v>
      </c>
      <c r="C46" s="43">
        <f>VLOOKUP($B46,KeywordGroupsLookup,3,FALSE)</f>
        <v>15</v>
      </c>
      <c r="D46" s="15" t="s">
        <v>322</v>
      </c>
      <c r="E46" s="16" t="s">
        <v>335</v>
      </c>
      <c r="F46" s="16" t="s">
        <v>554</v>
      </c>
      <c r="G46" s="16" t="s">
        <v>722</v>
      </c>
      <c r="H46" s="46">
        <f>LEN($I46)</f>
        <v>45</v>
      </c>
      <c r="I46" s="16" t="s">
        <v>721</v>
      </c>
    </row>
    <row r="47" spans="1:9" x14ac:dyDescent="0.25">
      <c r="A47" s="15" t="s">
        <v>227</v>
      </c>
      <c r="B47" s="15" t="s">
        <v>510</v>
      </c>
      <c r="C47" s="43">
        <f>VLOOKUP($B47,KeywordGroupsLookup,3,FALSE)</f>
        <v>14</v>
      </c>
      <c r="D47" s="15" t="s">
        <v>322</v>
      </c>
      <c r="E47" s="16" t="s">
        <v>335</v>
      </c>
      <c r="F47" s="16" t="s">
        <v>554</v>
      </c>
      <c r="G47" s="44" t="s">
        <v>701</v>
      </c>
      <c r="H47" s="46">
        <f>LEN($I47)</f>
        <v>43</v>
      </c>
      <c r="I47" s="16" t="s">
        <v>704</v>
      </c>
    </row>
    <row r="48" spans="1:9" x14ac:dyDescent="0.25">
      <c r="A48" s="15" t="s">
        <v>228</v>
      </c>
      <c r="B48" s="15" t="s">
        <v>510</v>
      </c>
      <c r="C48" s="43">
        <f>VLOOKUP($B48,KeywordGroupsLookup,3,FALSE)</f>
        <v>14</v>
      </c>
      <c r="D48" s="15" t="s">
        <v>321</v>
      </c>
      <c r="E48" s="16" t="s">
        <v>335</v>
      </c>
      <c r="F48" s="16" t="s">
        <v>577</v>
      </c>
      <c r="G48" s="44" t="s">
        <v>701</v>
      </c>
      <c r="H48" s="46">
        <f>LEN($I48)</f>
        <v>117</v>
      </c>
      <c r="I48" s="16" t="s">
        <v>705</v>
      </c>
    </row>
    <row r="49" spans="1:9" x14ac:dyDescent="0.25">
      <c r="A49" s="15" t="s">
        <v>229</v>
      </c>
      <c r="B49" s="15" t="s">
        <v>510</v>
      </c>
      <c r="C49" s="43">
        <f>VLOOKUP($B49,KeywordGroupsLookup,3,FALSE)</f>
        <v>14</v>
      </c>
      <c r="D49" s="15" t="s">
        <v>321</v>
      </c>
      <c r="E49" s="16" t="s">
        <v>335</v>
      </c>
      <c r="F49" s="16" t="s">
        <v>577</v>
      </c>
      <c r="G49" s="44" t="s">
        <v>701</v>
      </c>
      <c r="H49" s="46">
        <f>LEN($I49)</f>
        <v>85</v>
      </c>
      <c r="I49" s="16" t="s">
        <v>706</v>
      </c>
    </row>
    <row r="50" spans="1:9" x14ac:dyDescent="0.25">
      <c r="A50" s="15" t="s">
        <v>254</v>
      </c>
      <c r="B50" s="15" t="s">
        <v>539</v>
      </c>
      <c r="C50" s="43">
        <f>VLOOKUP($B50,KeywordGroupsLookup,3,FALSE)</f>
        <v>19</v>
      </c>
      <c r="D50" s="15" t="s">
        <v>321</v>
      </c>
      <c r="E50" s="16" t="s">
        <v>335</v>
      </c>
      <c r="F50" s="16" t="s">
        <v>554</v>
      </c>
      <c r="G50" s="44" t="s">
        <v>701</v>
      </c>
      <c r="H50" s="46">
        <f>LEN($I50)</f>
        <v>72</v>
      </c>
      <c r="I50" s="16" t="s">
        <v>770</v>
      </c>
    </row>
    <row r="51" spans="1:9" x14ac:dyDescent="0.25">
      <c r="A51" s="15" t="s">
        <v>535</v>
      </c>
      <c r="B51" s="15" t="s">
        <v>510</v>
      </c>
      <c r="C51" s="43">
        <f>VLOOKUP($B51,KeywordGroupsLookup,3,FALSE)</f>
        <v>14</v>
      </c>
      <c r="D51" s="15" t="s">
        <v>321</v>
      </c>
      <c r="E51" s="16" t="s">
        <v>335</v>
      </c>
      <c r="F51" s="16" t="s">
        <v>554</v>
      </c>
      <c r="G51" s="44" t="s">
        <v>701</v>
      </c>
      <c r="H51" s="46">
        <f>LEN($I51)</f>
        <v>33</v>
      </c>
      <c r="I51" s="16" t="s">
        <v>707</v>
      </c>
    </row>
    <row r="52" spans="1:9" x14ac:dyDescent="0.25">
      <c r="A52" s="15" t="s">
        <v>230</v>
      </c>
      <c r="B52" s="15" t="s">
        <v>510</v>
      </c>
      <c r="C52" s="43">
        <f>VLOOKUP($B52,KeywordGroupsLookup,3,FALSE)</f>
        <v>14</v>
      </c>
      <c r="D52" s="15" t="s">
        <v>322</v>
      </c>
      <c r="E52" s="16" t="s">
        <v>335</v>
      </c>
      <c r="F52" s="16" t="s">
        <v>554</v>
      </c>
      <c r="G52" s="16" t="s">
        <v>710</v>
      </c>
      <c r="H52" s="46">
        <f>LEN($I52)</f>
        <v>93</v>
      </c>
      <c r="I52" s="16" t="s">
        <v>709</v>
      </c>
    </row>
    <row r="53" spans="1:9" x14ac:dyDescent="0.25">
      <c r="A53" s="15" t="s">
        <v>231</v>
      </c>
      <c r="B53" s="15" t="s">
        <v>510</v>
      </c>
      <c r="C53" s="43">
        <f>VLOOKUP($B53,KeywordGroupsLookup,3,FALSE)</f>
        <v>14</v>
      </c>
      <c r="D53" s="15" t="s">
        <v>322</v>
      </c>
      <c r="E53" s="16" t="s">
        <v>335</v>
      </c>
      <c r="F53" s="16" t="s">
        <v>554</v>
      </c>
      <c r="G53" s="44" t="s">
        <v>712</v>
      </c>
      <c r="H53" s="46">
        <f>LEN($I53)</f>
        <v>51</v>
      </c>
      <c r="I53" s="16" t="s">
        <v>711</v>
      </c>
    </row>
    <row r="54" spans="1:9" x14ac:dyDescent="0.25">
      <c r="A54" s="15" t="s">
        <v>232</v>
      </c>
      <c r="B54" s="15" t="s">
        <v>510</v>
      </c>
      <c r="C54" s="43">
        <f>VLOOKUP($B54,KeywordGroupsLookup,3,FALSE)</f>
        <v>14</v>
      </c>
      <c r="D54" s="15" t="s">
        <v>321</v>
      </c>
      <c r="E54" s="16" t="s">
        <v>335</v>
      </c>
      <c r="F54" s="16" t="s">
        <v>554</v>
      </c>
      <c r="G54" s="44" t="s">
        <v>701</v>
      </c>
      <c r="H54" s="46">
        <f>LEN($I54)</f>
        <v>90</v>
      </c>
      <c r="I54" s="16" t="s">
        <v>713</v>
      </c>
    </row>
    <row r="55" spans="1:9" x14ac:dyDescent="0.25">
      <c r="A55" s="15" t="s">
        <v>548</v>
      </c>
      <c r="B55" s="15" t="s">
        <v>551</v>
      </c>
      <c r="C55" s="43">
        <f>VLOOKUP($B55,KeywordGroupsLookup,3,FALSE)</f>
        <v>28</v>
      </c>
      <c r="F55" s="16" t="s">
        <v>579</v>
      </c>
      <c r="G55" s="16" t="s">
        <v>554</v>
      </c>
      <c r="H55" s="46">
        <f>LEN($I55)</f>
        <v>195</v>
      </c>
      <c r="I55" s="16" t="s">
        <v>916</v>
      </c>
    </row>
    <row r="56" spans="1:9" x14ac:dyDescent="0.25">
      <c r="A56" s="15" t="s">
        <v>191</v>
      </c>
      <c r="B56" s="15" t="s">
        <v>549</v>
      </c>
      <c r="C56" s="43">
        <f>VLOOKUP($B56,KeywordGroupsLookup,3,FALSE)</f>
        <v>26</v>
      </c>
      <c r="D56" s="15" t="s">
        <v>145</v>
      </c>
      <c r="E56" s="16" t="s">
        <v>335</v>
      </c>
      <c r="F56" s="16" t="s">
        <v>554</v>
      </c>
      <c r="G56" s="16" t="s">
        <v>886</v>
      </c>
      <c r="H56" s="46">
        <f>LEN($I56)</f>
        <v>230</v>
      </c>
      <c r="I56" s="16" t="s">
        <v>887</v>
      </c>
    </row>
    <row r="57" spans="1:9" x14ac:dyDescent="0.25">
      <c r="A57" s="15" t="s">
        <v>190</v>
      </c>
      <c r="B57" s="15" t="s">
        <v>549</v>
      </c>
      <c r="C57" s="43">
        <f>VLOOKUP($B57,KeywordGroupsLookup,3,FALSE)</f>
        <v>26</v>
      </c>
      <c r="D57" s="15" t="s">
        <v>145</v>
      </c>
      <c r="E57" s="16" t="s">
        <v>335</v>
      </c>
      <c r="F57" s="16" t="s">
        <v>554</v>
      </c>
      <c r="G57" s="16" t="s">
        <v>886</v>
      </c>
      <c r="H57" s="46">
        <f>LEN($I57)</f>
        <v>141</v>
      </c>
      <c r="I57" s="16" t="s">
        <v>921</v>
      </c>
    </row>
    <row r="58" spans="1:9" x14ac:dyDescent="0.25">
      <c r="A58" s="15" t="s">
        <v>194</v>
      </c>
      <c r="B58" s="15" t="s">
        <v>549</v>
      </c>
      <c r="C58" s="43">
        <f>VLOOKUP($B58,KeywordGroupsLookup,3,FALSE)</f>
        <v>26</v>
      </c>
      <c r="D58" s="15" t="s">
        <v>145</v>
      </c>
      <c r="E58" s="16" t="s">
        <v>335</v>
      </c>
      <c r="F58" s="16" t="s">
        <v>554</v>
      </c>
      <c r="G58" s="16" t="s">
        <v>890</v>
      </c>
      <c r="H58" s="46">
        <f>LEN($I58)</f>
        <v>88</v>
      </c>
      <c r="I58" s="16" t="s">
        <v>891</v>
      </c>
    </row>
    <row r="59" spans="1:9" x14ac:dyDescent="0.25">
      <c r="A59" s="15" t="s">
        <v>193</v>
      </c>
      <c r="B59" s="15" t="s">
        <v>549</v>
      </c>
      <c r="C59" s="43">
        <f>VLOOKUP($B59,KeywordGroupsLookup,3,FALSE)</f>
        <v>26</v>
      </c>
      <c r="D59" s="15" t="s">
        <v>145</v>
      </c>
      <c r="E59" s="16" t="s">
        <v>335</v>
      </c>
      <c r="F59" s="16" t="s">
        <v>554</v>
      </c>
      <c r="G59" s="16" t="s">
        <v>886</v>
      </c>
      <c r="H59" s="46">
        <f>LEN($I59)</f>
        <v>151</v>
      </c>
      <c r="I59" s="16" t="s">
        <v>889</v>
      </c>
    </row>
    <row r="60" spans="1:9" x14ac:dyDescent="0.25">
      <c r="A60" s="15" t="s">
        <v>192</v>
      </c>
      <c r="B60" s="15" t="s">
        <v>549</v>
      </c>
      <c r="C60" s="43">
        <f>VLOOKUP($B60,KeywordGroupsLookup,3,FALSE)</f>
        <v>26</v>
      </c>
      <c r="D60" s="15" t="s">
        <v>145</v>
      </c>
      <c r="E60" s="16" t="s">
        <v>335</v>
      </c>
      <c r="F60" s="16" t="s">
        <v>554</v>
      </c>
      <c r="G60" s="16" t="s">
        <v>886</v>
      </c>
      <c r="H60" s="46">
        <f>LEN($I60)</f>
        <v>231</v>
      </c>
      <c r="I60" s="16" t="s">
        <v>888</v>
      </c>
    </row>
    <row r="61" spans="1:9" x14ac:dyDescent="0.25">
      <c r="A61" s="15" t="s">
        <v>188</v>
      </c>
      <c r="B61" s="15" t="s">
        <v>549</v>
      </c>
      <c r="C61" s="43">
        <f>VLOOKUP($B61,KeywordGroupsLookup,3,FALSE)</f>
        <v>26</v>
      </c>
      <c r="D61" s="15" t="s">
        <v>145</v>
      </c>
      <c r="E61" s="16" t="s">
        <v>335</v>
      </c>
      <c r="F61" s="16" t="s">
        <v>554</v>
      </c>
      <c r="G61" s="16" t="s">
        <v>883</v>
      </c>
      <c r="H61" s="46">
        <f>LEN($I61)</f>
        <v>93</v>
      </c>
      <c r="I61" s="16" t="s">
        <v>882</v>
      </c>
    </row>
    <row r="62" spans="1:9" x14ac:dyDescent="0.25">
      <c r="A62" s="15" t="s">
        <v>189</v>
      </c>
      <c r="B62" s="15" t="s">
        <v>549</v>
      </c>
      <c r="C62" s="43">
        <f>VLOOKUP($B62,KeywordGroupsLookup,3,FALSE)</f>
        <v>26</v>
      </c>
      <c r="D62" s="15" t="s">
        <v>145</v>
      </c>
      <c r="E62" s="16" t="s">
        <v>335</v>
      </c>
      <c r="F62" s="16" t="s">
        <v>554</v>
      </c>
      <c r="G62" s="16" t="s">
        <v>885</v>
      </c>
      <c r="H62" s="46">
        <f>LEN($I62)</f>
        <v>97</v>
      </c>
      <c r="I62" s="16" t="s">
        <v>884</v>
      </c>
    </row>
    <row r="63" spans="1:9" x14ac:dyDescent="0.25">
      <c r="A63" s="15" t="s">
        <v>183</v>
      </c>
      <c r="B63" s="15" t="s">
        <v>549</v>
      </c>
      <c r="C63" s="43">
        <f>VLOOKUP($B63,KeywordGroupsLookup,3,FALSE)</f>
        <v>26</v>
      </c>
      <c r="D63" s="15" t="s">
        <v>145</v>
      </c>
      <c r="E63" s="16" t="s">
        <v>335</v>
      </c>
      <c r="F63" s="16" t="s">
        <v>554</v>
      </c>
      <c r="G63" s="16" t="s">
        <v>874</v>
      </c>
      <c r="H63" s="46">
        <f>LEN($I63)</f>
        <v>161</v>
      </c>
      <c r="I63" s="16" t="s">
        <v>873</v>
      </c>
    </row>
    <row r="64" spans="1:9" x14ac:dyDescent="0.25">
      <c r="A64" s="15" t="s">
        <v>182</v>
      </c>
      <c r="B64" s="15" t="s">
        <v>549</v>
      </c>
      <c r="C64" s="43">
        <f>VLOOKUP($B64,KeywordGroupsLookup,3,FALSE)</f>
        <v>26</v>
      </c>
      <c r="D64" s="15" t="s">
        <v>145</v>
      </c>
      <c r="E64" s="16" t="s">
        <v>335</v>
      </c>
      <c r="F64" s="16" t="s">
        <v>554</v>
      </c>
      <c r="G64" s="16" t="s">
        <v>874</v>
      </c>
      <c r="H64" s="46">
        <f>LEN($I64)</f>
        <v>151</v>
      </c>
      <c r="I64" s="16" t="s">
        <v>872</v>
      </c>
    </row>
    <row r="65" spans="1:9" x14ac:dyDescent="0.25">
      <c r="A65" s="15" t="s">
        <v>200</v>
      </c>
      <c r="B65" s="15" t="s">
        <v>549</v>
      </c>
      <c r="C65" s="43">
        <f>VLOOKUP($B65,KeywordGroupsLookup,3,FALSE)</f>
        <v>26</v>
      </c>
      <c r="D65" s="15" t="s">
        <v>145</v>
      </c>
      <c r="E65" s="16" t="s">
        <v>335</v>
      </c>
      <c r="F65" s="16" t="s">
        <v>554</v>
      </c>
      <c r="G65" s="16" t="s">
        <v>899</v>
      </c>
      <c r="H65" s="46">
        <f>LEN($I65)</f>
        <v>226</v>
      </c>
      <c r="I65" s="16" t="s">
        <v>898</v>
      </c>
    </row>
    <row r="66" spans="1:9" x14ac:dyDescent="0.25">
      <c r="A66" s="15" t="s">
        <v>201</v>
      </c>
      <c r="B66" s="15" t="s">
        <v>549</v>
      </c>
      <c r="C66" s="43">
        <f>VLOOKUP($B66,KeywordGroupsLookup,3,FALSE)</f>
        <v>26</v>
      </c>
      <c r="D66" s="15" t="s">
        <v>145</v>
      </c>
      <c r="E66" s="16" t="s">
        <v>335</v>
      </c>
      <c r="F66" s="16" t="s">
        <v>554</v>
      </c>
      <c r="G66" s="16" t="s">
        <v>644</v>
      </c>
      <c r="H66" s="46">
        <f>LEN($I66)</f>
        <v>129</v>
      </c>
      <c r="I66" s="16" t="s">
        <v>900</v>
      </c>
    </row>
    <row r="67" spans="1:9" x14ac:dyDescent="0.25">
      <c r="A67" s="15" t="s">
        <v>202</v>
      </c>
      <c r="B67" s="15" t="s">
        <v>549</v>
      </c>
      <c r="C67" s="43">
        <f>VLOOKUP($B67,KeywordGroupsLookup,3,FALSE)</f>
        <v>26</v>
      </c>
      <c r="D67" s="15" t="s">
        <v>145</v>
      </c>
      <c r="E67" s="16" t="s">
        <v>335</v>
      </c>
      <c r="F67" s="16" t="s">
        <v>554</v>
      </c>
      <c r="G67" s="16" t="s">
        <v>874</v>
      </c>
      <c r="H67" s="46">
        <f>LEN($I67)</f>
        <v>121</v>
      </c>
      <c r="I67" s="16" t="s">
        <v>901</v>
      </c>
    </row>
    <row r="68" spans="1:9" x14ac:dyDescent="0.25">
      <c r="A68" s="15" t="s">
        <v>203</v>
      </c>
      <c r="B68" s="15" t="s">
        <v>549</v>
      </c>
      <c r="C68" s="43">
        <f>VLOOKUP($B68,KeywordGroupsLookup,3,FALSE)</f>
        <v>26</v>
      </c>
      <c r="D68" s="15" t="s">
        <v>145</v>
      </c>
      <c r="E68" s="16" t="s">
        <v>335</v>
      </c>
      <c r="F68" s="16" t="s">
        <v>554</v>
      </c>
      <c r="G68" s="16" t="s">
        <v>874</v>
      </c>
      <c r="H68" s="46">
        <f>LEN($I68)</f>
        <v>277</v>
      </c>
      <c r="I68" s="16" t="s">
        <v>903</v>
      </c>
    </row>
    <row r="69" spans="1:9" x14ac:dyDescent="0.25">
      <c r="A69" s="15" t="s">
        <v>204</v>
      </c>
      <c r="B69" s="15" t="s">
        <v>549</v>
      </c>
      <c r="C69" s="43">
        <f>VLOOKUP($B69,KeywordGroupsLookup,3,FALSE)</f>
        <v>26</v>
      </c>
      <c r="D69" s="15" t="s">
        <v>145</v>
      </c>
      <c r="E69" s="16" t="s">
        <v>335</v>
      </c>
      <c r="F69" s="16" t="s">
        <v>554</v>
      </c>
      <c r="G69" s="16" t="s">
        <v>906</v>
      </c>
      <c r="H69" s="46">
        <f>LEN($I69)</f>
        <v>227</v>
      </c>
      <c r="I69" s="16" t="s">
        <v>902</v>
      </c>
    </row>
    <row r="70" spans="1:9" x14ac:dyDescent="0.25">
      <c r="A70" s="15" t="s">
        <v>205</v>
      </c>
      <c r="B70" s="15" t="s">
        <v>549</v>
      </c>
      <c r="C70" s="43">
        <f>VLOOKUP($B70,KeywordGroupsLookup,3,FALSE)</f>
        <v>26</v>
      </c>
      <c r="D70" s="15" t="s">
        <v>145</v>
      </c>
      <c r="E70" s="16" t="s">
        <v>335</v>
      </c>
      <c r="F70" s="16" t="s">
        <v>554</v>
      </c>
      <c r="G70" s="16" t="s">
        <v>905</v>
      </c>
      <c r="H70" s="46">
        <f>LEN($I70)</f>
        <v>310</v>
      </c>
      <c r="I70" s="16" t="s">
        <v>904</v>
      </c>
    </row>
    <row r="71" spans="1:9" x14ac:dyDescent="0.25">
      <c r="A71" s="15" t="s">
        <v>206</v>
      </c>
      <c r="B71" s="15" t="s">
        <v>549</v>
      </c>
      <c r="C71" s="43">
        <f>VLOOKUP($B71,KeywordGroupsLookup,3,FALSE)</f>
        <v>26</v>
      </c>
      <c r="D71" s="15" t="s">
        <v>145</v>
      </c>
      <c r="E71" s="16" t="s">
        <v>335</v>
      </c>
      <c r="F71" s="16" t="s">
        <v>554</v>
      </c>
      <c r="G71" s="16" t="s">
        <v>908</v>
      </c>
      <c r="H71" s="46">
        <f>LEN($I71)</f>
        <v>141</v>
      </c>
      <c r="I71" s="16" t="s">
        <v>907</v>
      </c>
    </row>
    <row r="72" spans="1:9" x14ac:dyDescent="0.25">
      <c r="A72" s="15" t="s">
        <v>207</v>
      </c>
      <c r="B72" s="15" t="s">
        <v>549</v>
      </c>
      <c r="C72" s="43">
        <f>VLOOKUP($B72,KeywordGroupsLookup,3,FALSE)</f>
        <v>26</v>
      </c>
      <c r="D72" s="15" t="s">
        <v>145</v>
      </c>
      <c r="E72" s="16" t="s">
        <v>335</v>
      </c>
      <c r="F72" s="16" t="s">
        <v>554</v>
      </c>
      <c r="G72" s="16" t="s">
        <v>910</v>
      </c>
      <c r="H72" s="46">
        <f>LEN($I72)</f>
        <v>132</v>
      </c>
      <c r="I72" s="16" t="s">
        <v>909</v>
      </c>
    </row>
    <row r="73" spans="1:9" x14ac:dyDescent="0.25">
      <c r="A73" s="15" t="s">
        <v>186</v>
      </c>
      <c r="B73" s="15" t="s">
        <v>549</v>
      </c>
      <c r="C73" s="43">
        <f>VLOOKUP($B73,KeywordGroupsLookup,3,FALSE)</f>
        <v>26</v>
      </c>
      <c r="D73" s="15" t="s">
        <v>145</v>
      </c>
      <c r="E73" s="16" t="s">
        <v>335</v>
      </c>
      <c r="F73" s="16" t="s">
        <v>554</v>
      </c>
      <c r="G73" s="16" t="s">
        <v>879</v>
      </c>
      <c r="H73" s="46">
        <f>LEN($I73)</f>
        <v>89</v>
      </c>
      <c r="I73" s="16" t="s">
        <v>878</v>
      </c>
    </row>
    <row r="74" spans="1:9" x14ac:dyDescent="0.25">
      <c r="A74" s="15" t="s">
        <v>187</v>
      </c>
      <c r="B74" s="15" t="s">
        <v>549</v>
      </c>
      <c r="C74" s="43">
        <f>VLOOKUP($B74,KeywordGroupsLookup,3,FALSE)</f>
        <v>26</v>
      </c>
      <c r="D74" s="15" t="s">
        <v>145</v>
      </c>
      <c r="E74" s="16" t="s">
        <v>335</v>
      </c>
      <c r="F74" s="16" t="s">
        <v>554</v>
      </c>
      <c r="G74" s="16" t="s">
        <v>881</v>
      </c>
      <c r="H74" s="46">
        <f>LEN($I74)</f>
        <v>86</v>
      </c>
      <c r="I74" s="16" t="s">
        <v>880</v>
      </c>
    </row>
    <row r="75" spans="1:9" x14ac:dyDescent="0.25">
      <c r="A75" s="15" t="s">
        <v>310</v>
      </c>
      <c r="B75" s="15" t="s">
        <v>545</v>
      </c>
      <c r="C75" s="43">
        <f>VLOOKUP($B75,KeywordGroupsLookup,3,FALSE)</f>
        <v>25</v>
      </c>
      <c r="D75" s="15" t="s">
        <v>145</v>
      </c>
      <c r="E75" s="16" t="s">
        <v>335</v>
      </c>
      <c r="F75" s="16" t="s">
        <v>554</v>
      </c>
      <c r="G75" s="16" t="s">
        <v>686</v>
      </c>
      <c r="H75" s="46">
        <f>LEN($I75)</f>
        <v>178</v>
      </c>
      <c r="I75" s="16" t="s">
        <v>856</v>
      </c>
    </row>
    <row r="76" spans="1:9" x14ac:dyDescent="0.25">
      <c r="A76" s="15" t="s">
        <v>311</v>
      </c>
      <c r="B76" s="15" t="s">
        <v>545</v>
      </c>
      <c r="C76" s="43">
        <f>VLOOKUP($B76,KeywordGroupsLookup,3,FALSE)</f>
        <v>25</v>
      </c>
      <c r="D76" s="15" t="s">
        <v>145</v>
      </c>
      <c r="E76" s="16" t="s">
        <v>335</v>
      </c>
      <c r="F76" s="16" t="s">
        <v>554</v>
      </c>
      <c r="G76" s="16" t="s">
        <v>686</v>
      </c>
      <c r="H76" s="46">
        <f>LEN($I76)</f>
        <v>261</v>
      </c>
      <c r="I76" s="16" t="s">
        <v>857</v>
      </c>
    </row>
    <row r="77" spans="1:9" x14ac:dyDescent="0.25">
      <c r="A77" s="15" t="s">
        <v>184</v>
      </c>
      <c r="B77" s="15" t="s">
        <v>549</v>
      </c>
      <c r="C77" s="43">
        <f>VLOOKUP($B77,KeywordGroupsLookup,3,FALSE)</f>
        <v>26</v>
      </c>
      <c r="D77" s="15" t="s">
        <v>145</v>
      </c>
      <c r="E77" s="16" t="s">
        <v>335</v>
      </c>
      <c r="F77" s="16" t="s">
        <v>554</v>
      </c>
      <c r="G77" s="16" t="s">
        <v>877</v>
      </c>
      <c r="H77" s="46">
        <f>LEN($I77)</f>
        <v>69</v>
      </c>
      <c r="I77" s="16" t="s">
        <v>875</v>
      </c>
    </row>
    <row r="78" spans="1:9" x14ac:dyDescent="0.25">
      <c r="A78" s="15" t="s">
        <v>185</v>
      </c>
      <c r="B78" s="15" t="s">
        <v>549</v>
      </c>
      <c r="C78" s="43">
        <f>VLOOKUP($B78,KeywordGroupsLookup,3,FALSE)</f>
        <v>26</v>
      </c>
      <c r="D78" s="15" t="s">
        <v>145</v>
      </c>
      <c r="E78" s="16" t="s">
        <v>335</v>
      </c>
      <c r="F78" s="16" t="s">
        <v>554</v>
      </c>
      <c r="G78" s="16" t="s">
        <v>874</v>
      </c>
      <c r="H78" s="46">
        <f>LEN($I78)</f>
        <v>85</v>
      </c>
      <c r="I78" s="16" t="s">
        <v>876</v>
      </c>
    </row>
    <row r="79" spans="1:9" x14ac:dyDescent="0.25">
      <c r="A79" s="15" t="s">
        <v>35</v>
      </c>
      <c r="B79" s="15" t="s">
        <v>500</v>
      </c>
      <c r="C79" s="43">
        <f>VLOOKUP($B79,KeywordGroupsLookup,3,FALSE)</f>
        <v>2</v>
      </c>
      <c r="D79" s="15" t="s">
        <v>321</v>
      </c>
      <c r="E79" s="16" t="s">
        <v>333</v>
      </c>
      <c r="F79" s="16" t="s">
        <v>142</v>
      </c>
      <c r="G79" s="16" t="s">
        <v>513</v>
      </c>
      <c r="H79" s="46">
        <f>LEN($I79)</f>
        <v>93</v>
      </c>
      <c r="I79" s="16" t="s">
        <v>559</v>
      </c>
    </row>
    <row r="80" spans="1:9" x14ac:dyDescent="0.25">
      <c r="A80" s="15" t="s">
        <v>36</v>
      </c>
      <c r="B80" s="15" t="s">
        <v>500</v>
      </c>
      <c r="C80" s="43">
        <f>VLOOKUP($B80,KeywordGroupsLookup,3,FALSE)</f>
        <v>2</v>
      </c>
      <c r="D80" s="15" t="s">
        <v>321</v>
      </c>
      <c r="E80" s="16" t="s">
        <v>333</v>
      </c>
      <c r="F80" s="16" t="s">
        <v>142</v>
      </c>
      <c r="G80" s="16" t="s">
        <v>561</v>
      </c>
      <c r="H80" s="46">
        <f>LEN($I80)</f>
        <v>115</v>
      </c>
      <c r="I80" s="16" t="s">
        <v>560</v>
      </c>
    </row>
    <row r="81" spans="1:9" x14ac:dyDescent="0.25">
      <c r="A81" s="15" t="s">
        <v>37</v>
      </c>
      <c r="B81" s="15" t="s">
        <v>500</v>
      </c>
      <c r="C81" s="43">
        <f>VLOOKUP($B81,KeywordGroupsLookup,3,FALSE)</f>
        <v>2</v>
      </c>
      <c r="D81" s="15" t="s">
        <v>321</v>
      </c>
      <c r="E81" s="16" t="s">
        <v>333</v>
      </c>
      <c r="F81" s="16" t="s">
        <v>579</v>
      </c>
      <c r="G81" s="16" t="s">
        <v>564</v>
      </c>
      <c r="H81" s="46">
        <f>LEN($I81)</f>
        <v>118</v>
      </c>
      <c r="I81" s="16" t="s">
        <v>562</v>
      </c>
    </row>
    <row r="82" spans="1:9" x14ac:dyDescent="0.25">
      <c r="A82" s="15" t="s">
        <v>38</v>
      </c>
      <c r="B82" s="15" t="s">
        <v>500</v>
      </c>
      <c r="C82" s="43">
        <f>VLOOKUP($B82,KeywordGroupsLookup,3,FALSE)</f>
        <v>2</v>
      </c>
      <c r="D82" s="15" t="s">
        <v>321</v>
      </c>
      <c r="E82" s="16" t="s">
        <v>333</v>
      </c>
      <c r="F82" s="16" t="s">
        <v>580</v>
      </c>
      <c r="G82" s="16" t="s">
        <v>564</v>
      </c>
      <c r="H82" s="46">
        <f>LEN($I82)</f>
        <v>74</v>
      </c>
      <c r="I82" s="16" t="s">
        <v>563</v>
      </c>
    </row>
    <row r="83" spans="1:9" x14ac:dyDescent="0.25">
      <c r="A83" s="15" t="s">
        <v>32</v>
      </c>
      <c r="B83" s="15" t="s">
        <v>499</v>
      </c>
      <c r="C83" s="43">
        <f>VLOOKUP($B83,KeywordGroupsLookup,3,FALSE)</f>
        <v>1</v>
      </c>
      <c r="D83" s="15" t="s">
        <v>321</v>
      </c>
      <c r="E83" s="16" t="s">
        <v>334</v>
      </c>
      <c r="F83" s="16" t="s">
        <v>576</v>
      </c>
      <c r="G83" s="44" t="s">
        <v>716</v>
      </c>
      <c r="H83" s="46">
        <f>LEN($I83)</f>
        <v>159</v>
      </c>
      <c r="I83" s="45" t="s">
        <v>555</v>
      </c>
    </row>
    <row r="84" spans="1:9" x14ac:dyDescent="0.25">
      <c r="A84" s="15" t="s">
        <v>93</v>
      </c>
      <c r="B84" s="15" t="s">
        <v>505</v>
      </c>
      <c r="C84" s="43">
        <f>VLOOKUP($B84,KeywordGroupsLookup,3,FALSE)</f>
        <v>8</v>
      </c>
      <c r="D84" s="15" t="s">
        <v>321</v>
      </c>
      <c r="E84" s="16" t="s">
        <v>333</v>
      </c>
      <c r="F84" s="16" t="s">
        <v>142</v>
      </c>
      <c r="G84" s="16" t="s">
        <v>662</v>
      </c>
      <c r="H84" s="46">
        <f>LEN($I84)</f>
        <v>118</v>
      </c>
      <c r="I84" s="16" t="s">
        <v>649</v>
      </c>
    </row>
    <row r="85" spans="1:9" x14ac:dyDescent="0.25">
      <c r="A85" s="15" t="s">
        <v>255</v>
      </c>
      <c r="B85" s="15" t="s">
        <v>539</v>
      </c>
      <c r="C85" s="43">
        <f>VLOOKUP($B85,KeywordGroupsLookup,3,FALSE)</f>
        <v>19</v>
      </c>
      <c r="D85" s="15" t="s">
        <v>321</v>
      </c>
      <c r="E85" s="16" t="s">
        <v>335</v>
      </c>
      <c r="F85" s="16" t="s">
        <v>554</v>
      </c>
      <c r="G85" s="16" t="s">
        <v>554</v>
      </c>
      <c r="H85" s="46">
        <f>LEN($I85)</f>
        <v>241</v>
      </c>
      <c r="I85" s="16" t="s">
        <v>771</v>
      </c>
    </row>
    <row r="86" spans="1:9" x14ac:dyDescent="0.25">
      <c r="A86" s="15" t="s">
        <v>266</v>
      </c>
      <c r="B86" s="15" t="s">
        <v>541</v>
      </c>
      <c r="C86" s="43">
        <f>VLOOKUP($B86,KeywordGroupsLookup,3,FALSE)</f>
        <v>21</v>
      </c>
      <c r="D86" s="15" t="s">
        <v>322</v>
      </c>
      <c r="E86" s="16" t="s">
        <v>335</v>
      </c>
      <c r="F86" s="16" t="s">
        <v>554</v>
      </c>
      <c r="G86" s="16" t="s">
        <v>785</v>
      </c>
      <c r="H86" s="46">
        <f>LEN($I86)</f>
        <v>47</v>
      </c>
      <c r="I86" s="16" t="s">
        <v>791</v>
      </c>
    </row>
    <row r="87" spans="1:9" x14ac:dyDescent="0.25">
      <c r="A87" s="15" t="s">
        <v>267</v>
      </c>
      <c r="B87" s="15" t="s">
        <v>541</v>
      </c>
      <c r="C87" s="43">
        <f>VLOOKUP($B87,KeywordGroupsLookup,3,FALSE)</f>
        <v>21</v>
      </c>
      <c r="D87" s="15" t="s">
        <v>322</v>
      </c>
      <c r="E87" s="16" t="s">
        <v>335</v>
      </c>
      <c r="F87" s="16" t="s">
        <v>554</v>
      </c>
      <c r="G87" s="16" t="s">
        <v>786</v>
      </c>
      <c r="H87" s="46">
        <f>LEN($I87)</f>
        <v>51</v>
      </c>
      <c r="I87" s="16" t="s">
        <v>792</v>
      </c>
    </row>
    <row r="88" spans="1:9" x14ac:dyDescent="0.25">
      <c r="A88" s="15" t="s">
        <v>208</v>
      </c>
      <c r="B88" s="15" t="s">
        <v>536</v>
      </c>
      <c r="C88" s="43">
        <f>VLOOKUP($B88,KeywordGroupsLookup,3,FALSE)</f>
        <v>16</v>
      </c>
      <c r="D88" s="15" t="s">
        <v>322</v>
      </c>
      <c r="E88" s="16" t="s">
        <v>335</v>
      </c>
      <c r="F88" s="16" t="s">
        <v>554</v>
      </c>
      <c r="G88" s="16" t="s">
        <v>728</v>
      </c>
      <c r="H88" s="46">
        <f>LEN($I88)</f>
        <v>38</v>
      </c>
      <c r="I88" s="16" t="s">
        <v>727</v>
      </c>
    </row>
    <row r="89" spans="1:9" x14ac:dyDescent="0.25">
      <c r="A89" s="15" t="s">
        <v>209</v>
      </c>
      <c r="B89" s="15" t="s">
        <v>536</v>
      </c>
      <c r="C89" s="43">
        <f>VLOOKUP($B89,KeywordGroupsLookup,3,FALSE)</f>
        <v>16</v>
      </c>
      <c r="D89" s="15" t="s">
        <v>322</v>
      </c>
      <c r="E89" s="16" t="s">
        <v>335</v>
      </c>
      <c r="F89" s="16" t="s">
        <v>554</v>
      </c>
      <c r="G89" s="16" t="s">
        <v>728</v>
      </c>
      <c r="H89" s="46">
        <f>LEN($I89)</f>
        <v>54</v>
      </c>
      <c r="I89" s="16" t="s">
        <v>729</v>
      </c>
    </row>
    <row r="90" spans="1:9" x14ac:dyDescent="0.25">
      <c r="A90" s="15" t="s">
        <v>210</v>
      </c>
      <c r="B90" s="15" t="s">
        <v>536</v>
      </c>
      <c r="C90" s="43">
        <f>VLOOKUP($B90,KeywordGroupsLookup,3,FALSE)</f>
        <v>16</v>
      </c>
      <c r="D90" s="15" t="s">
        <v>322</v>
      </c>
      <c r="E90" s="16" t="s">
        <v>335</v>
      </c>
      <c r="F90" s="16" t="s">
        <v>554</v>
      </c>
      <c r="G90" s="16" t="s">
        <v>728</v>
      </c>
      <c r="H90" s="46">
        <f>LEN($I90)</f>
        <v>56</v>
      </c>
      <c r="I90" s="16" t="s">
        <v>730</v>
      </c>
    </row>
    <row r="91" spans="1:9" x14ac:dyDescent="0.25">
      <c r="A91" s="15" t="s">
        <v>211</v>
      </c>
      <c r="B91" s="15" t="s">
        <v>536</v>
      </c>
      <c r="C91" s="43">
        <f>VLOOKUP($B91,KeywordGroupsLookup,3,FALSE)</f>
        <v>16</v>
      </c>
      <c r="D91" s="15" t="s">
        <v>322</v>
      </c>
      <c r="E91" s="16" t="s">
        <v>335</v>
      </c>
      <c r="F91" s="16" t="s">
        <v>554</v>
      </c>
      <c r="G91" s="16" t="s">
        <v>732</v>
      </c>
      <c r="H91" s="46">
        <f>LEN($I91)</f>
        <v>158</v>
      </c>
      <c r="I91" s="16" t="s">
        <v>731</v>
      </c>
    </row>
    <row r="92" spans="1:9" x14ac:dyDescent="0.25">
      <c r="A92" s="15" t="s">
        <v>212</v>
      </c>
      <c r="B92" s="15" t="s">
        <v>536</v>
      </c>
      <c r="C92" s="43">
        <f>VLOOKUP($B92,KeywordGroupsLookup,3,FALSE)</f>
        <v>16</v>
      </c>
      <c r="D92" s="15" t="s">
        <v>322</v>
      </c>
      <c r="E92" s="16" t="s">
        <v>335</v>
      </c>
      <c r="F92" s="16" t="s">
        <v>554</v>
      </c>
      <c r="G92" s="16" t="s">
        <v>734</v>
      </c>
      <c r="H92" s="46">
        <f>LEN($I92)</f>
        <v>70</v>
      </c>
      <c r="I92" s="16" t="s">
        <v>733</v>
      </c>
    </row>
    <row r="93" spans="1:9" x14ac:dyDescent="0.25">
      <c r="A93" s="15" t="s">
        <v>213</v>
      </c>
      <c r="B93" s="15" t="s">
        <v>536</v>
      </c>
      <c r="C93" s="43">
        <f>VLOOKUP($B93,KeywordGroupsLookup,3,FALSE)</f>
        <v>16</v>
      </c>
      <c r="D93" s="15" t="s">
        <v>322</v>
      </c>
      <c r="E93" s="16" t="s">
        <v>335</v>
      </c>
      <c r="F93" s="16" t="s">
        <v>554</v>
      </c>
      <c r="G93" s="16" t="s">
        <v>736</v>
      </c>
      <c r="H93" s="46">
        <f>LEN($I93)</f>
        <v>50</v>
      </c>
      <c r="I93" s="16" t="s">
        <v>735</v>
      </c>
    </row>
    <row r="94" spans="1:9" x14ac:dyDescent="0.25">
      <c r="A94" s="15" t="s">
        <v>214</v>
      </c>
      <c r="B94" s="15" t="s">
        <v>536</v>
      </c>
      <c r="C94" s="43">
        <f>VLOOKUP($B94,KeywordGroupsLookup,3,FALSE)</f>
        <v>16</v>
      </c>
      <c r="D94" s="15" t="s">
        <v>322</v>
      </c>
      <c r="E94" s="16" t="s">
        <v>335</v>
      </c>
      <c r="F94" s="16" t="s">
        <v>554</v>
      </c>
      <c r="G94" s="16" t="s">
        <v>738</v>
      </c>
      <c r="H94" s="46">
        <f>LEN($I94)</f>
        <v>223</v>
      </c>
      <c r="I94" s="16" t="s">
        <v>737</v>
      </c>
    </row>
    <row r="95" spans="1:9" x14ac:dyDescent="0.25">
      <c r="A95" s="15" t="s">
        <v>215</v>
      </c>
      <c r="B95" s="15" t="s">
        <v>536</v>
      </c>
      <c r="C95" s="43">
        <f>VLOOKUP($B95,KeywordGroupsLookup,3,FALSE)</f>
        <v>16</v>
      </c>
      <c r="D95" s="15" t="s">
        <v>321</v>
      </c>
      <c r="E95" s="16" t="s">
        <v>335</v>
      </c>
      <c r="F95" s="16" t="s">
        <v>142</v>
      </c>
      <c r="G95" s="16" t="s">
        <v>736</v>
      </c>
      <c r="H95" s="46">
        <f>LEN($I95)</f>
        <v>72</v>
      </c>
      <c r="I95" s="16" t="s">
        <v>739</v>
      </c>
    </row>
    <row r="96" spans="1:9" x14ac:dyDescent="0.25">
      <c r="A96" s="15" t="s">
        <v>216</v>
      </c>
      <c r="B96" s="15" t="s">
        <v>536</v>
      </c>
      <c r="C96" s="43">
        <f>VLOOKUP($B96,KeywordGroupsLookup,3,FALSE)</f>
        <v>16</v>
      </c>
      <c r="D96" s="15" t="s">
        <v>321</v>
      </c>
      <c r="E96" s="16" t="s">
        <v>335</v>
      </c>
      <c r="F96" s="16" t="s">
        <v>577</v>
      </c>
      <c r="G96" s="16" t="s">
        <v>728</v>
      </c>
      <c r="H96" s="46">
        <f>LEN($I96)</f>
        <v>64</v>
      </c>
      <c r="I96" s="16" t="s">
        <v>740</v>
      </c>
    </row>
    <row r="97" spans="1:9" x14ac:dyDescent="0.25">
      <c r="A97" s="15" t="s">
        <v>217</v>
      </c>
      <c r="B97" s="15" t="s">
        <v>536</v>
      </c>
      <c r="C97" s="43">
        <f>VLOOKUP($B97,KeywordGroupsLookup,3,FALSE)</f>
        <v>16</v>
      </c>
      <c r="D97" s="15" t="s">
        <v>322</v>
      </c>
      <c r="E97" s="16" t="s">
        <v>335</v>
      </c>
      <c r="F97" s="16" t="s">
        <v>554</v>
      </c>
      <c r="G97" s="16" t="s">
        <v>742</v>
      </c>
      <c r="H97" s="46">
        <f>LEN($I97)</f>
        <v>127</v>
      </c>
      <c r="I97" s="16" t="s">
        <v>741</v>
      </c>
    </row>
    <row r="98" spans="1:9" x14ac:dyDescent="0.25">
      <c r="A98" s="15" t="s">
        <v>53</v>
      </c>
      <c r="B98" s="15" t="s">
        <v>503</v>
      </c>
      <c r="C98" s="43">
        <f>VLOOKUP($B98,KeywordGroupsLookup,3,FALSE)</f>
        <v>4</v>
      </c>
      <c r="D98" s="15" t="s">
        <v>321</v>
      </c>
      <c r="E98" s="16" t="s">
        <v>333</v>
      </c>
      <c r="F98" s="16" t="s">
        <v>579</v>
      </c>
      <c r="G98" s="16" t="s">
        <v>591</v>
      </c>
      <c r="H98" s="46">
        <f>LEN($I98)</f>
        <v>64</v>
      </c>
      <c r="I98" s="16" t="s">
        <v>595</v>
      </c>
    </row>
    <row r="99" spans="1:9" x14ac:dyDescent="0.25">
      <c r="A99" s="15" t="s">
        <v>49</v>
      </c>
      <c r="B99" s="15" t="s">
        <v>501</v>
      </c>
      <c r="C99" s="43">
        <f>VLOOKUP($B99,KeywordGroupsLookup,3,FALSE)</f>
        <v>3</v>
      </c>
      <c r="D99" s="15" t="s">
        <v>321</v>
      </c>
      <c r="E99" s="16" t="s">
        <v>333</v>
      </c>
      <c r="F99" s="16" t="s">
        <v>142</v>
      </c>
      <c r="G99" s="16" t="s">
        <v>586</v>
      </c>
      <c r="H99" s="46">
        <f>LEN($I99)</f>
        <v>80</v>
      </c>
      <c r="I99" s="16" t="s">
        <v>585</v>
      </c>
    </row>
    <row r="100" spans="1:9" x14ac:dyDescent="0.25">
      <c r="A100" s="15" t="s">
        <v>50</v>
      </c>
      <c r="B100" s="15" t="s">
        <v>501</v>
      </c>
      <c r="C100" s="43">
        <f>VLOOKUP($B100,KeywordGroupsLookup,3,FALSE)</f>
        <v>3</v>
      </c>
      <c r="D100" s="15" t="s">
        <v>321</v>
      </c>
      <c r="E100" s="16" t="s">
        <v>333</v>
      </c>
      <c r="F100" s="16" t="s">
        <v>579</v>
      </c>
      <c r="G100" s="16" t="s">
        <v>589</v>
      </c>
      <c r="H100" s="46">
        <f>LEN($I100)</f>
        <v>67</v>
      </c>
      <c r="I100" s="16" t="s">
        <v>588</v>
      </c>
    </row>
    <row r="101" spans="1:9" x14ac:dyDescent="0.25">
      <c r="A101" s="15" t="s">
        <v>275</v>
      </c>
      <c r="B101" s="15" t="s">
        <v>542</v>
      </c>
      <c r="C101" s="43">
        <f>VLOOKUP($B101,KeywordGroupsLookup,3,FALSE)</f>
        <v>22</v>
      </c>
      <c r="D101" s="15" t="s">
        <v>146</v>
      </c>
      <c r="E101" s="16" t="s">
        <v>335</v>
      </c>
      <c r="F101" s="16" t="s">
        <v>554</v>
      </c>
      <c r="G101" s="16" t="s">
        <v>554</v>
      </c>
      <c r="H101" s="46">
        <f>LEN($I101)</f>
        <v>36</v>
      </c>
      <c r="I101" s="16" t="s">
        <v>803</v>
      </c>
    </row>
    <row r="102" spans="1:9" x14ac:dyDescent="0.25">
      <c r="A102" s="15" t="s">
        <v>514</v>
      </c>
      <c r="B102" s="15" t="s">
        <v>501</v>
      </c>
      <c r="C102" s="43">
        <f>VLOOKUP($B102,KeywordGroupsLookup,3,FALSE)</f>
        <v>3</v>
      </c>
      <c r="D102" s="15" t="s">
        <v>321</v>
      </c>
      <c r="E102" s="16" t="s">
        <v>333</v>
      </c>
      <c r="F102" s="16" t="s">
        <v>142</v>
      </c>
      <c r="G102" s="16" t="s">
        <v>591</v>
      </c>
      <c r="H102" s="46">
        <f>LEN($I102)</f>
        <v>97</v>
      </c>
      <c r="I102" s="16" t="s">
        <v>590</v>
      </c>
    </row>
    <row r="103" spans="1:9" x14ac:dyDescent="0.25">
      <c r="A103" s="15" t="s">
        <v>51</v>
      </c>
      <c r="B103" s="15" t="s">
        <v>501</v>
      </c>
      <c r="C103" s="43">
        <f>VLOOKUP($B103,KeywordGroupsLookup,3,FALSE)</f>
        <v>3</v>
      </c>
      <c r="D103" s="15" t="s">
        <v>321</v>
      </c>
      <c r="E103" s="16" t="s">
        <v>333</v>
      </c>
      <c r="F103" s="16" t="s">
        <v>579</v>
      </c>
      <c r="G103" s="16" t="s">
        <v>589</v>
      </c>
      <c r="H103" s="46">
        <f>LEN($I103)</f>
        <v>47</v>
      </c>
      <c r="I103" s="16" t="s">
        <v>592</v>
      </c>
    </row>
    <row r="104" spans="1:9" x14ac:dyDescent="0.25">
      <c r="A104" s="15" t="s">
        <v>54</v>
      </c>
      <c r="B104" s="15" t="s">
        <v>503</v>
      </c>
      <c r="C104" s="43">
        <f>VLOOKUP($B104,KeywordGroupsLookup,3,FALSE)</f>
        <v>4</v>
      </c>
      <c r="D104" s="15" t="s">
        <v>321</v>
      </c>
      <c r="E104" s="16" t="s">
        <v>333</v>
      </c>
      <c r="F104" s="16" t="s">
        <v>597</v>
      </c>
      <c r="G104" s="16" t="s">
        <v>591</v>
      </c>
      <c r="H104" s="46">
        <f>LEN($I104)</f>
        <v>208</v>
      </c>
      <c r="I104" s="16" t="s">
        <v>596</v>
      </c>
    </row>
    <row r="105" spans="1:9" x14ac:dyDescent="0.25">
      <c r="A105" s="15" t="s">
        <v>55</v>
      </c>
      <c r="B105" s="15" t="s">
        <v>503</v>
      </c>
      <c r="C105" s="43">
        <f>VLOOKUP($B105,KeywordGroupsLookup,3,FALSE)</f>
        <v>4</v>
      </c>
      <c r="D105" s="15" t="s">
        <v>321</v>
      </c>
      <c r="E105" s="16" t="s">
        <v>333</v>
      </c>
      <c r="F105" s="16" t="s">
        <v>142</v>
      </c>
      <c r="G105" s="16" t="s">
        <v>598</v>
      </c>
      <c r="H105" s="46">
        <f>LEN($I105)</f>
        <v>165</v>
      </c>
      <c r="I105" s="16" t="s">
        <v>599</v>
      </c>
    </row>
    <row r="106" spans="1:9" x14ac:dyDescent="0.25">
      <c r="A106" s="15" t="s">
        <v>56</v>
      </c>
      <c r="B106" s="15" t="s">
        <v>503</v>
      </c>
      <c r="C106" s="43">
        <f>VLOOKUP($B106,KeywordGroupsLookup,3,FALSE)</f>
        <v>4</v>
      </c>
      <c r="D106" s="15" t="s">
        <v>321</v>
      </c>
      <c r="E106" s="16" t="s">
        <v>333</v>
      </c>
      <c r="F106" s="16" t="s">
        <v>579</v>
      </c>
      <c r="G106" s="16" t="s">
        <v>591</v>
      </c>
      <c r="H106" s="46">
        <f>LEN($I106)</f>
        <v>64</v>
      </c>
      <c r="I106" s="16" t="s">
        <v>605</v>
      </c>
    </row>
    <row r="107" spans="1:9" x14ac:dyDescent="0.25">
      <c r="A107" s="15" t="s">
        <v>268</v>
      </c>
      <c r="B107" s="15" t="s">
        <v>541</v>
      </c>
      <c r="C107" s="43">
        <f>VLOOKUP($B107,KeywordGroupsLookup,3,FALSE)</f>
        <v>21</v>
      </c>
      <c r="D107" s="15" t="s">
        <v>321</v>
      </c>
      <c r="E107" s="16" t="s">
        <v>335</v>
      </c>
      <c r="F107" s="16" t="s">
        <v>142</v>
      </c>
      <c r="G107" s="16" t="s">
        <v>794</v>
      </c>
      <c r="H107" s="46">
        <f>LEN($I107)</f>
        <v>97</v>
      </c>
      <c r="I107" s="16" t="s">
        <v>793</v>
      </c>
    </row>
    <row r="108" spans="1:9" x14ac:dyDescent="0.25">
      <c r="A108" s="15" t="s">
        <v>269</v>
      </c>
      <c r="B108" s="15" t="s">
        <v>541</v>
      </c>
      <c r="C108" s="43">
        <f>VLOOKUP($B108,KeywordGroupsLookup,3,FALSE)</f>
        <v>21</v>
      </c>
      <c r="D108" s="15" t="s">
        <v>322</v>
      </c>
      <c r="E108" s="16" t="s">
        <v>335</v>
      </c>
      <c r="F108" s="16" t="s">
        <v>554</v>
      </c>
      <c r="G108" s="16" t="s">
        <v>796</v>
      </c>
      <c r="H108" s="46">
        <f>LEN($I108)</f>
        <v>84</v>
      </c>
      <c r="I108" s="16" t="s">
        <v>795</v>
      </c>
    </row>
    <row r="109" spans="1:9" x14ac:dyDescent="0.25">
      <c r="A109" s="15" t="s">
        <v>57</v>
      </c>
      <c r="B109" s="15" t="s">
        <v>503</v>
      </c>
      <c r="C109" s="43">
        <f>VLOOKUP($B109,KeywordGroupsLookup,3,FALSE)</f>
        <v>4</v>
      </c>
      <c r="D109" s="15" t="s">
        <v>321</v>
      </c>
      <c r="E109" s="16" t="s">
        <v>333</v>
      </c>
      <c r="F109" s="16" t="s">
        <v>577</v>
      </c>
      <c r="G109" s="16" t="s">
        <v>600</v>
      </c>
      <c r="H109" s="46">
        <f>LEN($I109)</f>
        <v>90</v>
      </c>
      <c r="I109" s="16" t="s">
        <v>604</v>
      </c>
    </row>
    <row r="110" spans="1:9" x14ac:dyDescent="0.25">
      <c r="A110" s="15" t="s">
        <v>58</v>
      </c>
      <c r="B110" s="15" t="s">
        <v>503</v>
      </c>
      <c r="C110" s="43">
        <f>VLOOKUP($B110,KeywordGroupsLookup,3,FALSE)</f>
        <v>4</v>
      </c>
      <c r="D110" s="15" t="s">
        <v>321</v>
      </c>
      <c r="E110" s="16" t="s">
        <v>333</v>
      </c>
      <c r="F110" s="16" t="s">
        <v>577</v>
      </c>
      <c r="G110" s="16" t="s">
        <v>601</v>
      </c>
      <c r="H110" s="46">
        <f>LEN($I110)</f>
        <v>87</v>
      </c>
      <c r="I110" s="16" t="s">
        <v>603</v>
      </c>
    </row>
    <row r="111" spans="1:9" x14ac:dyDescent="0.25">
      <c r="A111" s="15" t="s">
        <v>59</v>
      </c>
      <c r="B111" s="15" t="s">
        <v>503</v>
      </c>
      <c r="C111" s="43">
        <f>VLOOKUP($B111,KeywordGroupsLookup,3,FALSE)</f>
        <v>4</v>
      </c>
      <c r="D111" s="15" t="s">
        <v>321</v>
      </c>
      <c r="E111" s="16" t="s">
        <v>333</v>
      </c>
      <c r="F111" s="16" t="s">
        <v>577</v>
      </c>
      <c r="G111" s="16" t="s">
        <v>600</v>
      </c>
      <c r="H111" s="46">
        <f>LEN($I111)</f>
        <v>87</v>
      </c>
      <c r="I111" s="16" t="s">
        <v>602</v>
      </c>
    </row>
    <row r="112" spans="1:9" x14ac:dyDescent="0.25">
      <c r="A112" s="15" t="s">
        <v>60</v>
      </c>
      <c r="B112" s="15" t="s">
        <v>503</v>
      </c>
      <c r="C112" s="43">
        <f>VLOOKUP($B112,KeywordGroupsLookup,3,FALSE)</f>
        <v>4</v>
      </c>
      <c r="D112" s="15" t="s">
        <v>321</v>
      </c>
      <c r="E112" s="16" t="s">
        <v>333</v>
      </c>
      <c r="F112" s="16" t="s">
        <v>579</v>
      </c>
      <c r="G112" s="16" t="s">
        <v>591</v>
      </c>
      <c r="H112" s="46">
        <f>LEN($I112)</f>
        <v>57</v>
      </c>
      <c r="I112" s="16" t="s">
        <v>606</v>
      </c>
    </row>
    <row r="113" spans="1:9" x14ac:dyDescent="0.25">
      <c r="A113" s="15" t="s">
        <v>61</v>
      </c>
      <c r="B113" s="15" t="s">
        <v>503</v>
      </c>
      <c r="C113" s="43">
        <f>VLOOKUP($B113,KeywordGroupsLookup,3,FALSE)</f>
        <v>4</v>
      </c>
      <c r="D113" s="15" t="s">
        <v>321</v>
      </c>
      <c r="E113" s="16" t="s">
        <v>333</v>
      </c>
      <c r="F113" s="16" t="s">
        <v>142</v>
      </c>
      <c r="G113" s="16" t="s">
        <v>608</v>
      </c>
      <c r="H113" s="46">
        <f>LEN($I113)</f>
        <v>64</v>
      </c>
      <c r="I113" s="16" t="s">
        <v>607</v>
      </c>
    </row>
    <row r="114" spans="1:9" x14ac:dyDescent="0.25">
      <c r="A114" s="15" t="s">
        <v>62</v>
      </c>
      <c r="B114" s="15" t="s">
        <v>503</v>
      </c>
      <c r="C114" s="43">
        <f>VLOOKUP($B114,KeywordGroupsLookup,3,FALSE)</f>
        <v>4</v>
      </c>
      <c r="D114" s="15" t="s">
        <v>321</v>
      </c>
      <c r="E114" s="16" t="s">
        <v>333</v>
      </c>
      <c r="F114" s="16" t="s">
        <v>579</v>
      </c>
      <c r="G114" s="16" t="s">
        <v>591</v>
      </c>
      <c r="H114" s="46">
        <f>LEN($I114)</f>
        <v>76</v>
      </c>
      <c r="I114" s="16" t="s">
        <v>609</v>
      </c>
    </row>
    <row r="115" spans="1:9" x14ac:dyDescent="0.25">
      <c r="A115" s="15" t="s">
        <v>478</v>
      </c>
      <c r="B115" s="15" t="s">
        <v>538</v>
      </c>
      <c r="C115" s="43">
        <f>VLOOKUP($B115,KeywordGroupsLookup,3,FALSE)</f>
        <v>18</v>
      </c>
      <c r="D115" s="15" t="s">
        <v>146</v>
      </c>
      <c r="E115" s="16" t="s">
        <v>335</v>
      </c>
      <c r="F115" s="16" t="s">
        <v>554</v>
      </c>
      <c r="G115" s="16" t="s">
        <v>554</v>
      </c>
      <c r="H115" s="46">
        <f>LEN($I115)</f>
        <v>92</v>
      </c>
      <c r="I115" s="16" t="s">
        <v>756</v>
      </c>
    </row>
    <row r="116" spans="1:9" x14ac:dyDescent="0.25">
      <c r="A116" s="15" t="s">
        <v>248</v>
      </c>
      <c r="B116" s="15" t="s">
        <v>538</v>
      </c>
      <c r="C116" s="43">
        <f>VLOOKUP($B116,KeywordGroupsLookup,3,FALSE)</f>
        <v>18</v>
      </c>
      <c r="D116" s="15" t="s">
        <v>146</v>
      </c>
      <c r="E116" s="16" t="s">
        <v>335</v>
      </c>
      <c r="F116" s="16" t="s">
        <v>554</v>
      </c>
      <c r="G116" s="16" t="s">
        <v>758</v>
      </c>
      <c r="H116" s="46">
        <f>LEN($I116)</f>
        <v>85</v>
      </c>
      <c r="I116" s="16" t="s">
        <v>757</v>
      </c>
    </row>
    <row r="117" spans="1:9" x14ac:dyDescent="0.25">
      <c r="A117" s="15" t="s">
        <v>63</v>
      </c>
      <c r="B117" s="15" t="s">
        <v>503</v>
      </c>
      <c r="C117" s="43">
        <f>VLOOKUP($B117,KeywordGroupsLookup,3,FALSE)</f>
        <v>4</v>
      </c>
      <c r="D117" s="15" t="s">
        <v>321</v>
      </c>
      <c r="E117" s="16" t="s">
        <v>333</v>
      </c>
      <c r="F117" s="16" t="s">
        <v>139</v>
      </c>
      <c r="G117" s="16" t="s">
        <v>611</v>
      </c>
      <c r="H117" s="46">
        <f>LEN($I117)</f>
        <v>65</v>
      </c>
      <c r="I117" s="16" t="s">
        <v>610</v>
      </c>
    </row>
    <row r="118" spans="1:9" x14ac:dyDescent="0.25">
      <c r="A118" s="15" t="s">
        <v>276</v>
      </c>
      <c r="B118" s="15" t="s">
        <v>542</v>
      </c>
      <c r="C118" s="43">
        <f>VLOOKUP($B118,KeywordGroupsLookup,3,FALSE)</f>
        <v>22</v>
      </c>
      <c r="D118" s="15" t="s">
        <v>146</v>
      </c>
      <c r="E118" s="16" t="s">
        <v>335</v>
      </c>
      <c r="F118" s="16" t="s">
        <v>554</v>
      </c>
      <c r="G118" s="16" t="s">
        <v>554</v>
      </c>
      <c r="H118" s="46">
        <f>LEN($I118)</f>
        <v>423</v>
      </c>
      <c r="I118" s="16" t="s">
        <v>804</v>
      </c>
    </row>
    <row r="119" spans="1:9" x14ac:dyDescent="0.25">
      <c r="A119" s="15" t="s">
        <v>243</v>
      </c>
      <c r="B119" s="15" t="s">
        <v>538</v>
      </c>
      <c r="C119" s="43">
        <f>VLOOKUP($B119,KeywordGroupsLookup,3,FALSE)</f>
        <v>18</v>
      </c>
      <c r="D119" s="15" t="s">
        <v>322</v>
      </c>
      <c r="E119" s="16" t="s">
        <v>335</v>
      </c>
      <c r="F119" s="16" t="s">
        <v>554</v>
      </c>
      <c r="G119" s="16" t="s">
        <v>753</v>
      </c>
      <c r="H119" s="46">
        <f>LEN($I119)</f>
        <v>131</v>
      </c>
      <c r="I119" s="16" t="s">
        <v>752</v>
      </c>
    </row>
    <row r="120" spans="1:9" x14ac:dyDescent="0.25">
      <c r="A120" s="15" t="s">
        <v>244</v>
      </c>
      <c r="B120" s="15" t="s">
        <v>538</v>
      </c>
      <c r="C120" s="43">
        <f>VLOOKUP($B120,KeywordGroupsLookup,3,FALSE)</f>
        <v>18</v>
      </c>
      <c r="D120" s="15" t="s">
        <v>322</v>
      </c>
      <c r="E120" s="16" t="s">
        <v>335</v>
      </c>
      <c r="F120" s="16" t="s">
        <v>139</v>
      </c>
      <c r="G120" s="16" t="s">
        <v>754</v>
      </c>
      <c r="H120" s="46">
        <f>LEN($I120)</f>
        <v>85</v>
      </c>
      <c r="I120" s="16" t="s">
        <v>755</v>
      </c>
    </row>
    <row r="121" spans="1:9" x14ac:dyDescent="0.25">
      <c r="A121" s="15" t="s">
        <v>75</v>
      </c>
      <c r="B121" s="15" t="s">
        <v>498</v>
      </c>
      <c r="C121" s="43">
        <f>VLOOKUP($B121,KeywordGroupsLookup,3,FALSE)</f>
        <v>7</v>
      </c>
      <c r="D121" s="15" t="s">
        <v>321</v>
      </c>
      <c r="E121" s="16" t="s">
        <v>333</v>
      </c>
      <c r="F121" s="16" t="s">
        <v>139</v>
      </c>
      <c r="G121" s="16" t="s">
        <v>620</v>
      </c>
      <c r="H121" s="46">
        <f>LEN($I121)</f>
        <v>45</v>
      </c>
      <c r="I121" s="16" t="s">
        <v>625</v>
      </c>
    </row>
    <row r="122" spans="1:9" x14ac:dyDescent="0.25">
      <c r="A122" s="15" t="s">
        <v>312</v>
      </c>
      <c r="B122" s="15" t="s">
        <v>545</v>
      </c>
      <c r="C122" s="43">
        <f>VLOOKUP($B122,KeywordGroupsLookup,3,FALSE)</f>
        <v>25</v>
      </c>
      <c r="D122" s="15" t="s">
        <v>321</v>
      </c>
      <c r="E122" s="16" t="s">
        <v>335</v>
      </c>
      <c r="F122" s="16" t="s">
        <v>554</v>
      </c>
      <c r="G122" s="16" t="s">
        <v>644</v>
      </c>
      <c r="H122" s="46">
        <f>LEN($I122)</f>
        <v>236</v>
      </c>
      <c r="I122" s="16" t="s">
        <v>858</v>
      </c>
    </row>
    <row r="123" spans="1:9" x14ac:dyDescent="0.25">
      <c r="A123" s="15" t="s">
        <v>106</v>
      </c>
      <c r="B123" s="15" t="s">
        <v>506</v>
      </c>
      <c r="C123" s="43">
        <f>VLOOKUP($B123,KeywordGroupsLookup,3,FALSE)</f>
        <v>9</v>
      </c>
      <c r="D123" s="15" t="s">
        <v>146</v>
      </c>
      <c r="E123" s="16" t="s">
        <v>334</v>
      </c>
      <c r="F123" s="16" t="s">
        <v>554</v>
      </c>
      <c r="G123" s="16" t="s">
        <v>554</v>
      </c>
      <c r="H123" s="46">
        <f>LEN($I123)</f>
        <v>259</v>
      </c>
      <c r="I123" s="16" t="s">
        <v>665</v>
      </c>
    </row>
    <row r="124" spans="1:9" x14ac:dyDescent="0.25">
      <c r="A124" s="15" t="s">
        <v>107</v>
      </c>
      <c r="B124" s="15" t="s">
        <v>506</v>
      </c>
      <c r="C124" s="43">
        <f>VLOOKUP($B124,KeywordGroupsLookup,3,FALSE)</f>
        <v>9</v>
      </c>
      <c r="D124" s="15" t="s">
        <v>146</v>
      </c>
      <c r="E124" s="16" t="s">
        <v>334</v>
      </c>
      <c r="F124" s="16" t="s">
        <v>554</v>
      </c>
      <c r="G124" s="16" t="s">
        <v>554</v>
      </c>
      <c r="H124" s="46">
        <f>LEN($I124)</f>
        <v>228</v>
      </c>
      <c r="I124" s="16" t="s">
        <v>666</v>
      </c>
    </row>
    <row r="125" spans="1:9" x14ac:dyDescent="0.25">
      <c r="A125" s="15" t="s">
        <v>313</v>
      </c>
      <c r="B125" s="15" t="s">
        <v>545</v>
      </c>
      <c r="C125" s="43">
        <f>VLOOKUP($B125,KeywordGroupsLookup,3,FALSE)</f>
        <v>25</v>
      </c>
      <c r="D125" s="15" t="s">
        <v>321</v>
      </c>
      <c r="E125" s="16" t="s">
        <v>335</v>
      </c>
      <c r="F125" s="16" t="s">
        <v>577</v>
      </c>
      <c r="G125" s="16" t="s">
        <v>668</v>
      </c>
      <c r="H125" s="46">
        <f>LEN($I125)</f>
        <v>52</v>
      </c>
      <c r="I125" s="16" t="s">
        <v>859</v>
      </c>
    </row>
    <row r="126" spans="1:9" x14ac:dyDescent="0.25">
      <c r="A126" s="15" t="s">
        <v>94</v>
      </c>
      <c r="B126" s="15" t="s">
        <v>505</v>
      </c>
      <c r="C126" s="43">
        <f>VLOOKUP($B126,KeywordGroupsLookup,3,FALSE)</f>
        <v>8</v>
      </c>
      <c r="D126" s="15" t="s">
        <v>321</v>
      </c>
      <c r="E126" s="16" t="s">
        <v>333</v>
      </c>
      <c r="F126" s="16" t="s">
        <v>142</v>
      </c>
      <c r="G126" s="16" t="s">
        <v>651</v>
      </c>
      <c r="H126" s="46">
        <f>LEN($I126)</f>
        <v>82</v>
      </c>
      <c r="I126" s="16" t="s">
        <v>650</v>
      </c>
    </row>
    <row r="127" spans="1:9" x14ac:dyDescent="0.25">
      <c r="A127" s="15" t="s">
        <v>256</v>
      </c>
      <c r="B127" s="15" t="s">
        <v>539</v>
      </c>
      <c r="C127" s="43">
        <f>VLOOKUP($B127,KeywordGroupsLookup,3,FALSE)</f>
        <v>19</v>
      </c>
      <c r="D127" s="15" t="s">
        <v>146</v>
      </c>
      <c r="E127" s="16" t="s">
        <v>335</v>
      </c>
      <c r="F127" s="16" t="s">
        <v>554</v>
      </c>
      <c r="G127" s="16" t="s">
        <v>554</v>
      </c>
      <c r="H127" s="46">
        <f>LEN($I127)</f>
        <v>249</v>
      </c>
      <c r="I127" s="16" t="s">
        <v>772</v>
      </c>
    </row>
    <row r="128" spans="1:9" x14ac:dyDescent="0.25">
      <c r="A128" s="15" t="s">
        <v>64</v>
      </c>
      <c r="B128" s="15" t="s">
        <v>502</v>
      </c>
      <c r="C128" s="43">
        <f>VLOOKUP($B128,KeywordGroupsLookup,3,FALSE)</f>
        <v>5</v>
      </c>
      <c r="D128" s="15" t="s">
        <v>321</v>
      </c>
      <c r="E128" s="16" t="s">
        <v>333</v>
      </c>
      <c r="F128" s="16" t="s">
        <v>139</v>
      </c>
      <c r="G128" s="16" t="s">
        <v>613</v>
      </c>
      <c r="H128" s="46">
        <f>LEN($I128)</f>
        <v>194</v>
      </c>
      <c r="I128" s="16" t="s">
        <v>612</v>
      </c>
    </row>
    <row r="129" spans="1:9" x14ac:dyDescent="0.25">
      <c r="A129" s="15" t="s">
        <v>245</v>
      </c>
      <c r="B129" s="15" t="s">
        <v>538</v>
      </c>
      <c r="C129" s="43">
        <f>VLOOKUP($B129,KeywordGroupsLookup,3,FALSE)</f>
        <v>18</v>
      </c>
      <c r="D129" s="15" t="s">
        <v>145</v>
      </c>
      <c r="E129" s="16" t="s">
        <v>335</v>
      </c>
      <c r="F129" s="16" t="s">
        <v>142</v>
      </c>
      <c r="G129" s="16" t="s">
        <v>554</v>
      </c>
      <c r="H129" s="46">
        <f>LEN($I129)</f>
        <v>254</v>
      </c>
      <c r="I129" s="16" t="s">
        <v>759</v>
      </c>
    </row>
    <row r="130" spans="1:9" x14ac:dyDescent="0.25">
      <c r="A130" s="15" t="s">
        <v>246</v>
      </c>
      <c r="B130" s="15" t="s">
        <v>538</v>
      </c>
      <c r="C130" s="43">
        <f>VLOOKUP($B130,KeywordGroupsLookup,3,FALSE)</f>
        <v>18</v>
      </c>
      <c r="D130" s="15" t="s">
        <v>145</v>
      </c>
      <c r="E130" s="16" t="s">
        <v>335</v>
      </c>
      <c r="F130" s="16" t="s">
        <v>142</v>
      </c>
      <c r="G130" s="16" t="s">
        <v>554</v>
      </c>
      <c r="H130" s="46">
        <f>LEN($I130)</f>
        <v>205</v>
      </c>
      <c r="I130" s="16" t="s">
        <v>760</v>
      </c>
    </row>
    <row r="131" spans="1:9" x14ac:dyDescent="0.25">
      <c r="A131" s="15" t="s">
        <v>247</v>
      </c>
      <c r="B131" s="15" t="s">
        <v>538</v>
      </c>
      <c r="C131" s="43">
        <f>VLOOKUP($B131,KeywordGroupsLookup,3,FALSE)</f>
        <v>18</v>
      </c>
      <c r="D131" s="15" t="s">
        <v>145</v>
      </c>
      <c r="E131" s="16" t="s">
        <v>335</v>
      </c>
      <c r="F131" s="16" t="s">
        <v>142</v>
      </c>
      <c r="G131" s="16" t="s">
        <v>554</v>
      </c>
      <c r="H131" s="46">
        <f>LEN($I131)</f>
        <v>66</v>
      </c>
      <c r="I131" s="16" t="s">
        <v>761</v>
      </c>
    </row>
    <row r="132" spans="1:9" x14ac:dyDescent="0.25">
      <c r="A132" s="15" t="s">
        <v>260</v>
      </c>
      <c r="B132" s="15" t="s">
        <v>540</v>
      </c>
      <c r="C132" s="43">
        <f>VLOOKUP($B132,KeywordGroupsLookup,3,FALSE)</f>
        <v>20</v>
      </c>
      <c r="D132" s="15" t="s">
        <v>145</v>
      </c>
      <c r="E132" s="16" t="s">
        <v>335</v>
      </c>
      <c r="F132" s="16" t="s">
        <v>577</v>
      </c>
      <c r="G132" s="16" t="s">
        <v>554</v>
      </c>
      <c r="H132" s="46">
        <f>LEN($I132)</f>
        <v>208</v>
      </c>
      <c r="I132" s="16" t="s">
        <v>775</v>
      </c>
    </row>
    <row r="133" spans="1:9" x14ac:dyDescent="0.25">
      <c r="A133" s="15" t="s">
        <v>95</v>
      </c>
      <c r="B133" s="15" t="s">
        <v>505</v>
      </c>
      <c r="C133" s="43">
        <f>VLOOKUP($B133,KeywordGroupsLookup,3,FALSE)</f>
        <v>8</v>
      </c>
      <c r="D133" s="15" t="s">
        <v>321</v>
      </c>
      <c r="E133" s="16" t="s">
        <v>333</v>
      </c>
      <c r="F133" s="16" t="s">
        <v>142</v>
      </c>
      <c r="G133" s="16" t="s">
        <v>653</v>
      </c>
      <c r="H133" s="46">
        <f>LEN($I133)</f>
        <v>76</v>
      </c>
      <c r="I133" s="16" t="s">
        <v>652</v>
      </c>
    </row>
    <row r="134" spans="1:9" x14ac:dyDescent="0.25">
      <c r="A134" s="15" t="s">
        <v>76</v>
      </c>
      <c r="B134" s="15" t="s">
        <v>498</v>
      </c>
      <c r="C134" s="43">
        <f>VLOOKUP($B134,KeywordGroupsLookup,3,FALSE)</f>
        <v>7</v>
      </c>
      <c r="D134" s="15" t="s">
        <v>321</v>
      </c>
      <c r="E134" s="16" t="s">
        <v>333</v>
      </c>
      <c r="F134" s="16" t="s">
        <v>579</v>
      </c>
      <c r="G134" s="16" t="s">
        <v>620</v>
      </c>
      <c r="H134" s="46">
        <f>LEN($I134)</f>
        <v>80</v>
      </c>
      <c r="I134" s="16" t="s">
        <v>626</v>
      </c>
    </row>
    <row r="135" spans="1:9" x14ac:dyDescent="0.25">
      <c r="A135" s="15" t="s">
        <v>31</v>
      </c>
      <c r="B135" s="15" t="s">
        <v>499</v>
      </c>
      <c r="C135" s="43">
        <f>VLOOKUP($B135,KeywordGroupsLookup,3,FALSE)</f>
        <v>1</v>
      </c>
      <c r="D135" s="15" t="s">
        <v>145</v>
      </c>
      <c r="E135" s="16" t="s">
        <v>334</v>
      </c>
      <c r="F135" s="16" t="s">
        <v>577</v>
      </c>
      <c r="G135" s="16" t="s">
        <v>554</v>
      </c>
      <c r="H135" s="46">
        <f>LEN($I135)</f>
        <v>187</v>
      </c>
      <c r="I135" s="16" t="s">
        <v>556</v>
      </c>
    </row>
    <row r="136" spans="1:9" x14ac:dyDescent="0.25">
      <c r="A136" s="15" t="s">
        <v>77</v>
      </c>
      <c r="B136" s="15" t="s">
        <v>498</v>
      </c>
      <c r="C136" s="43">
        <f>VLOOKUP($B136,KeywordGroupsLookup,3,FALSE)</f>
        <v>7</v>
      </c>
      <c r="D136" s="15" t="s">
        <v>321</v>
      </c>
      <c r="E136" s="16" t="s">
        <v>333</v>
      </c>
      <c r="F136" s="16" t="s">
        <v>577</v>
      </c>
      <c r="G136" s="16" t="s">
        <v>620</v>
      </c>
      <c r="H136" s="46">
        <f>LEN($I136)</f>
        <v>74</v>
      </c>
      <c r="I136" s="16" t="s">
        <v>627</v>
      </c>
    </row>
    <row r="137" spans="1:9" x14ac:dyDescent="0.25">
      <c r="A137" s="15" t="s">
        <v>249</v>
      </c>
      <c r="B137" s="15" t="s">
        <v>538</v>
      </c>
      <c r="C137" s="43">
        <f>VLOOKUP($B137,KeywordGroupsLookup,3,FALSE)</f>
        <v>18</v>
      </c>
      <c r="D137" s="15" t="s">
        <v>146</v>
      </c>
      <c r="E137" s="16" t="s">
        <v>335</v>
      </c>
      <c r="F137" s="16" t="s">
        <v>554</v>
      </c>
      <c r="G137" s="16" t="s">
        <v>763</v>
      </c>
      <c r="H137" s="46">
        <f>LEN($I137)</f>
        <v>107</v>
      </c>
      <c r="I137" s="16" t="s">
        <v>762</v>
      </c>
    </row>
    <row r="138" spans="1:9" x14ac:dyDescent="0.25">
      <c r="A138" s="15" t="s">
        <v>250</v>
      </c>
      <c r="B138" s="15" t="s">
        <v>538</v>
      </c>
      <c r="C138" s="43">
        <f>VLOOKUP($B138,KeywordGroupsLookup,3,FALSE)</f>
        <v>18</v>
      </c>
      <c r="D138" s="15" t="s">
        <v>146</v>
      </c>
      <c r="E138" s="16" t="s">
        <v>335</v>
      </c>
      <c r="F138" s="16" t="s">
        <v>554</v>
      </c>
      <c r="G138" s="16" t="s">
        <v>554</v>
      </c>
      <c r="H138" s="46">
        <f>LEN($I138)</f>
        <v>59</v>
      </c>
      <c r="I138" s="16" t="s">
        <v>764</v>
      </c>
    </row>
    <row r="139" spans="1:9" x14ac:dyDescent="0.25">
      <c r="A139" s="15" t="s">
        <v>78</v>
      </c>
      <c r="B139" s="15" t="s">
        <v>498</v>
      </c>
      <c r="C139" s="43">
        <f>VLOOKUP($B139,KeywordGroupsLookup,3,FALSE)</f>
        <v>7</v>
      </c>
      <c r="D139" s="15" t="s">
        <v>321</v>
      </c>
      <c r="E139" s="16" t="s">
        <v>333</v>
      </c>
      <c r="F139" s="16" t="s">
        <v>139</v>
      </c>
      <c r="G139" s="16" t="s">
        <v>620</v>
      </c>
      <c r="H139" s="46">
        <f>LEN($I139)</f>
        <v>54</v>
      </c>
      <c r="I139" s="16" t="s">
        <v>628</v>
      </c>
    </row>
    <row r="140" spans="1:9" x14ac:dyDescent="0.25">
      <c r="A140" s="15" t="s">
        <v>79</v>
      </c>
      <c r="B140" s="15" t="s">
        <v>498</v>
      </c>
      <c r="C140" s="43">
        <f>VLOOKUP($B140,KeywordGroupsLookup,3,FALSE)</f>
        <v>7</v>
      </c>
      <c r="D140" s="15" t="s">
        <v>321</v>
      </c>
      <c r="E140" s="16" t="s">
        <v>333</v>
      </c>
      <c r="F140" s="16" t="s">
        <v>139</v>
      </c>
      <c r="G140" s="16" t="s">
        <v>620</v>
      </c>
      <c r="H140" s="46">
        <f>LEN($I140)</f>
        <v>55</v>
      </c>
      <c r="I140" s="16" t="s">
        <v>629</v>
      </c>
    </row>
    <row r="141" spans="1:9" x14ac:dyDescent="0.25">
      <c r="A141" s="15" t="s">
        <v>96</v>
      </c>
      <c r="B141" s="15" t="s">
        <v>505</v>
      </c>
      <c r="C141" s="43">
        <f>VLOOKUP($B141,KeywordGroupsLookup,3,FALSE)</f>
        <v>8</v>
      </c>
      <c r="D141" s="15" t="s">
        <v>321</v>
      </c>
      <c r="E141" s="16" t="s">
        <v>333</v>
      </c>
      <c r="F141" s="16" t="s">
        <v>579</v>
      </c>
      <c r="G141" s="16" t="s">
        <v>644</v>
      </c>
      <c r="H141" s="46">
        <f>LEN($I141)</f>
        <v>36</v>
      </c>
      <c r="I141" s="16" t="s">
        <v>654</v>
      </c>
    </row>
    <row r="142" spans="1:9" x14ac:dyDescent="0.25">
      <c r="A142" s="15" t="s">
        <v>97</v>
      </c>
      <c r="B142" s="15" t="s">
        <v>505</v>
      </c>
      <c r="C142" s="43">
        <f>VLOOKUP($B142,KeywordGroupsLookup,3,FALSE)</f>
        <v>8</v>
      </c>
      <c r="D142" s="15" t="s">
        <v>321</v>
      </c>
      <c r="E142" s="16" t="s">
        <v>333</v>
      </c>
      <c r="F142" s="16" t="s">
        <v>142</v>
      </c>
      <c r="G142" s="16" t="s">
        <v>644</v>
      </c>
      <c r="H142" s="46">
        <f>LEN($I142)</f>
        <v>67</v>
      </c>
      <c r="I142" s="16" t="s">
        <v>655</v>
      </c>
    </row>
    <row r="143" spans="1:9" x14ac:dyDescent="0.25">
      <c r="A143" s="15" t="s">
        <v>80</v>
      </c>
      <c r="B143" s="15" t="s">
        <v>498</v>
      </c>
      <c r="C143" s="43">
        <f>VLOOKUP($B143,KeywordGroupsLookup,3,FALSE)</f>
        <v>7</v>
      </c>
      <c r="D143" s="15" t="s">
        <v>321</v>
      </c>
      <c r="E143" s="16" t="s">
        <v>333</v>
      </c>
      <c r="F143" s="16" t="s">
        <v>139</v>
      </c>
      <c r="G143" s="16" t="s">
        <v>631</v>
      </c>
      <c r="H143" s="46">
        <f>LEN($I143)</f>
        <v>51</v>
      </c>
      <c r="I143" s="16" t="s">
        <v>630</v>
      </c>
    </row>
    <row r="144" spans="1:9" x14ac:dyDescent="0.25">
      <c r="A144" s="15" t="s">
        <v>179</v>
      </c>
      <c r="B144" s="15" t="s">
        <v>551</v>
      </c>
      <c r="C144" s="43">
        <f>VLOOKUP($B144,KeywordGroupsLookup,3,FALSE)</f>
        <v>28</v>
      </c>
      <c r="D144" s="15" t="s">
        <v>145</v>
      </c>
      <c r="E144" s="16" t="s">
        <v>335</v>
      </c>
      <c r="F144" s="16" t="s">
        <v>579</v>
      </c>
      <c r="G144" s="16" t="s">
        <v>554</v>
      </c>
      <c r="H144" s="46">
        <f>LEN($I144)</f>
        <v>199</v>
      </c>
      <c r="I144" s="16" t="s">
        <v>917</v>
      </c>
    </row>
    <row r="145" spans="1:9" x14ac:dyDescent="0.25">
      <c r="A145" s="15" t="s">
        <v>81</v>
      </c>
      <c r="B145" s="15" t="s">
        <v>498</v>
      </c>
      <c r="C145" s="43">
        <f>VLOOKUP($B145,KeywordGroupsLookup,3,FALSE)</f>
        <v>7</v>
      </c>
      <c r="D145" s="15" t="s">
        <v>321</v>
      </c>
      <c r="E145" s="16" t="s">
        <v>333</v>
      </c>
      <c r="F145" s="16" t="s">
        <v>139</v>
      </c>
      <c r="G145" s="16" t="s">
        <v>631</v>
      </c>
      <c r="H145" s="46">
        <f>LEN($I145)</f>
        <v>52</v>
      </c>
      <c r="I145" s="16" t="s">
        <v>633</v>
      </c>
    </row>
    <row r="146" spans="1:9" x14ac:dyDescent="0.25">
      <c r="A146" s="15" t="s">
        <v>199</v>
      </c>
      <c r="B146" s="15" t="s">
        <v>549</v>
      </c>
      <c r="C146" s="43">
        <f>VLOOKUP($B146,KeywordGroupsLookup,3,FALSE)</f>
        <v>26</v>
      </c>
      <c r="D146" s="15" t="s">
        <v>145</v>
      </c>
      <c r="E146" s="16" t="s">
        <v>335</v>
      </c>
      <c r="F146" s="16" t="s">
        <v>554</v>
      </c>
      <c r="G146" s="16" t="s">
        <v>890</v>
      </c>
      <c r="H146" s="46">
        <f>LEN($I146)</f>
        <v>265</v>
      </c>
      <c r="I146" s="16" t="s">
        <v>896</v>
      </c>
    </row>
    <row r="147" spans="1:9" x14ac:dyDescent="0.25">
      <c r="A147" s="15" t="s">
        <v>82</v>
      </c>
      <c r="B147" s="15" t="s">
        <v>498</v>
      </c>
      <c r="C147" s="43">
        <f>VLOOKUP($B147,KeywordGroupsLookup,3,FALSE)</f>
        <v>7</v>
      </c>
      <c r="D147" s="15" t="s">
        <v>321</v>
      </c>
      <c r="E147" s="16" t="s">
        <v>333</v>
      </c>
      <c r="F147" s="16" t="s">
        <v>579</v>
      </c>
      <c r="G147" s="16" t="s">
        <v>635</v>
      </c>
      <c r="H147" s="46">
        <f>LEN($I147)</f>
        <v>60</v>
      </c>
      <c r="I147" s="16" t="s">
        <v>634</v>
      </c>
    </row>
    <row r="148" spans="1:9" x14ac:dyDescent="0.25">
      <c r="A148" s="15" t="s">
        <v>39</v>
      </c>
      <c r="B148" s="15" t="s">
        <v>500</v>
      </c>
      <c r="C148" s="43">
        <f>VLOOKUP($B148,KeywordGroupsLookup,3,FALSE)</f>
        <v>2</v>
      </c>
      <c r="D148" s="15" t="s">
        <v>321</v>
      </c>
      <c r="E148" s="16" t="s">
        <v>333</v>
      </c>
      <c r="F148" s="16" t="s">
        <v>579</v>
      </c>
      <c r="G148" s="16" t="s">
        <v>564</v>
      </c>
      <c r="H148" s="46">
        <f>LEN($I148)</f>
        <v>122</v>
      </c>
      <c r="I148" s="16" t="s">
        <v>565</v>
      </c>
    </row>
    <row r="149" spans="1:9" x14ac:dyDescent="0.25">
      <c r="A149" s="15" t="s">
        <v>40</v>
      </c>
      <c r="B149" s="15" t="s">
        <v>500</v>
      </c>
      <c r="C149" s="43">
        <f>VLOOKUP($B149,KeywordGroupsLookup,3,FALSE)</f>
        <v>2</v>
      </c>
      <c r="D149" s="15" t="s">
        <v>145</v>
      </c>
      <c r="E149" s="16" t="s">
        <v>333</v>
      </c>
      <c r="F149" s="16" t="s">
        <v>580</v>
      </c>
      <c r="G149" s="16" t="s">
        <v>554</v>
      </c>
      <c r="H149" s="46">
        <f>LEN($I149)</f>
        <v>64</v>
      </c>
      <c r="I149" s="16" t="s">
        <v>566</v>
      </c>
    </row>
    <row r="150" spans="1:9" x14ac:dyDescent="0.25">
      <c r="A150" s="15" t="s">
        <v>314</v>
      </c>
      <c r="B150" s="15" t="s">
        <v>545</v>
      </c>
      <c r="C150" s="43">
        <f>VLOOKUP($B150,KeywordGroupsLookup,3,FALSE)</f>
        <v>25</v>
      </c>
      <c r="D150" s="15" t="s">
        <v>321</v>
      </c>
      <c r="E150" s="16" t="s">
        <v>335</v>
      </c>
      <c r="F150" s="16" t="s">
        <v>142</v>
      </c>
      <c r="G150" s="16" t="s">
        <v>632</v>
      </c>
      <c r="H150" s="46">
        <f>LEN($I150)</f>
        <v>168</v>
      </c>
      <c r="I150" s="16" t="s">
        <v>860</v>
      </c>
    </row>
    <row r="151" spans="1:9" x14ac:dyDescent="0.25">
      <c r="A151" s="15" t="s">
        <v>315</v>
      </c>
      <c r="B151" s="15" t="s">
        <v>545</v>
      </c>
      <c r="C151" s="43">
        <f>VLOOKUP($B151,KeywordGroupsLookup,3,FALSE)</f>
        <v>25</v>
      </c>
      <c r="D151" s="15" t="s">
        <v>321</v>
      </c>
      <c r="E151" s="16" t="s">
        <v>335</v>
      </c>
      <c r="F151" s="16" t="s">
        <v>142</v>
      </c>
      <c r="G151" s="16" t="s">
        <v>866</v>
      </c>
      <c r="H151" s="46">
        <f>LEN($I151)</f>
        <v>120</v>
      </c>
      <c r="I151" s="16" t="s">
        <v>861</v>
      </c>
    </row>
    <row r="152" spans="1:9" x14ac:dyDescent="0.25">
      <c r="A152" s="15" t="s">
        <v>98</v>
      </c>
      <c r="B152" s="15" t="s">
        <v>505</v>
      </c>
      <c r="C152" s="43">
        <f>VLOOKUP($B152,KeywordGroupsLookup,3,FALSE)</f>
        <v>8</v>
      </c>
      <c r="D152" s="15" t="s">
        <v>321</v>
      </c>
      <c r="E152" s="16" t="s">
        <v>333</v>
      </c>
      <c r="F152" s="16" t="s">
        <v>139</v>
      </c>
      <c r="G152" s="16" t="s">
        <v>644</v>
      </c>
      <c r="H152" s="46">
        <f>LEN($I152)</f>
        <v>36</v>
      </c>
      <c r="I152" s="16" t="s">
        <v>656</v>
      </c>
    </row>
    <row r="153" spans="1:9" x14ac:dyDescent="0.25">
      <c r="A153" s="15" t="s">
        <v>180</v>
      </c>
      <c r="B153" s="15" t="s">
        <v>550</v>
      </c>
      <c r="C153" s="43">
        <f>VLOOKUP($B153,KeywordGroupsLookup,3,FALSE)</f>
        <v>27</v>
      </c>
      <c r="D153" s="15" t="s">
        <v>321</v>
      </c>
      <c r="E153" s="16" t="s">
        <v>335</v>
      </c>
      <c r="F153" s="16" t="s">
        <v>554</v>
      </c>
      <c r="G153" s="16" t="s">
        <v>914</v>
      </c>
      <c r="H153" s="46">
        <f>LEN($I153)</f>
        <v>55</v>
      </c>
      <c r="I153" s="16" t="s">
        <v>911</v>
      </c>
    </row>
    <row r="154" spans="1:9" x14ac:dyDescent="0.25">
      <c r="A154" s="15" t="s">
        <v>175</v>
      </c>
      <c r="B154" s="15" t="s">
        <v>552</v>
      </c>
      <c r="C154" s="43">
        <f>VLOOKUP($B154,KeywordGroupsLookup,3,FALSE)</f>
        <v>29</v>
      </c>
      <c r="D154" s="15" t="s">
        <v>321</v>
      </c>
      <c r="E154" s="16" t="s">
        <v>335</v>
      </c>
      <c r="F154" s="16" t="s">
        <v>554</v>
      </c>
      <c r="G154" s="16" t="s">
        <v>914</v>
      </c>
      <c r="H154" s="46">
        <f>LEN($I154)</f>
        <v>53</v>
      </c>
      <c r="I154" s="16" t="s">
        <v>919</v>
      </c>
    </row>
    <row r="155" spans="1:9" x14ac:dyDescent="0.25">
      <c r="A155" s="15" t="s">
        <v>196</v>
      </c>
      <c r="B155" s="15" t="s">
        <v>549</v>
      </c>
      <c r="C155" s="43">
        <f>VLOOKUP($B155,KeywordGroupsLookup,3,FALSE)</f>
        <v>26</v>
      </c>
      <c r="D155" s="15" t="s">
        <v>145</v>
      </c>
      <c r="E155" s="16" t="s">
        <v>334</v>
      </c>
      <c r="F155" s="16" t="s">
        <v>139</v>
      </c>
      <c r="G155" s="16" t="s">
        <v>554</v>
      </c>
      <c r="H155" s="46">
        <f>LEN($I155)</f>
        <v>183</v>
      </c>
      <c r="I155" s="16" t="s">
        <v>893</v>
      </c>
    </row>
    <row r="156" spans="1:9" x14ac:dyDescent="0.25">
      <c r="A156" s="15" t="s">
        <v>238</v>
      </c>
      <c r="B156" s="15" t="s">
        <v>537</v>
      </c>
      <c r="C156" s="43">
        <f>VLOOKUP($B156,KeywordGroupsLookup,3,FALSE)</f>
        <v>17</v>
      </c>
      <c r="D156" s="15" t="s">
        <v>321</v>
      </c>
      <c r="E156" s="16" t="s">
        <v>335</v>
      </c>
      <c r="F156" s="16" t="s">
        <v>554</v>
      </c>
      <c r="G156" s="16" t="s">
        <v>744</v>
      </c>
      <c r="H156" s="46">
        <f>LEN($I156)</f>
        <v>57</v>
      </c>
      <c r="I156" s="16" t="s">
        <v>743</v>
      </c>
    </row>
    <row r="157" spans="1:9" x14ac:dyDescent="0.25">
      <c r="A157" s="15" t="s">
        <v>239</v>
      </c>
      <c r="B157" s="15" t="s">
        <v>537</v>
      </c>
      <c r="C157" s="43">
        <f>VLOOKUP($B157,KeywordGroupsLookup,3,FALSE)</f>
        <v>17</v>
      </c>
      <c r="D157" s="15" t="s">
        <v>321</v>
      </c>
      <c r="E157" s="16" t="s">
        <v>335</v>
      </c>
      <c r="F157" s="16" t="s">
        <v>554</v>
      </c>
      <c r="G157" s="16" t="s">
        <v>746</v>
      </c>
      <c r="H157" s="46">
        <f>LEN($I157)</f>
        <v>51</v>
      </c>
      <c r="I157" s="16" t="s">
        <v>745</v>
      </c>
    </row>
    <row r="158" spans="1:9" x14ac:dyDescent="0.25">
      <c r="A158" s="15" t="s">
        <v>240</v>
      </c>
      <c r="B158" s="15" t="s">
        <v>537</v>
      </c>
      <c r="C158" s="43">
        <f>VLOOKUP($B158,KeywordGroupsLookup,3,FALSE)</f>
        <v>17</v>
      </c>
      <c r="D158" s="15" t="s">
        <v>321</v>
      </c>
      <c r="E158" s="16" t="s">
        <v>335</v>
      </c>
      <c r="F158" s="16" t="s">
        <v>554</v>
      </c>
      <c r="G158" s="16" t="s">
        <v>748</v>
      </c>
      <c r="H158" s="46">
        <f>LEN($I158)</f>
        <v>123</v>
      </c>
      <c r="I158" s="16" t="s">
        <v>747</v>
      </c>
    </row>
    <row r="159" spans="1:9" x14ac:dyDescent="0.25">
      <c r="A159" s="15" t="s">
        <v>241</v>
      </c>
      <c r="B159" s="15" t="s">
        <v>537</v>
      </c>
      <c r="C159" s="43">
        <f>VLOOKUP($B159,KeywordGroupsLookup,3,FALSE)</f>
        <v>17</v>
      </c>
      <c r="D159" s="15" t="s">
        <v>322</v>
      </c>
      <c r="E159" s="16" t="s">
        <v>335</v>
      </c>
      <c r="F159" s="16" t="s">
        <v>554</v>
      </c>
      <c r="G159" s="16" t="s">
        <v>750</v>
      </c>
      <c r="H159" s="46">
        <f>LEN($I159)</f>
        <v>76</v>
      </c>
      <c r="I159" s="16" t="s">
        <v>749</v>
      </c>
    </row>
    <row r="160" spans="1:9" x14ac:dyDescent="0.25">
      <c r="A160" s="15" t="s">
        <v>198</v>
      </c>
      <c r="B160" s="15" t="s">
        <v>549</v>
      </c>
      <c r="C160" s="43">
        <f>VLOOKUP($B160,KeywordGroupsLookup,3,FALSE)</f>
        <v>26</v>
      </c>
      <c r="D160" s="15" t="s">
        <v>145</v>
      </c>
      <c r="E160" s="16" t="s">
        <v>335</v>
      </c>
      <c r="F160" s="16" t="s">
        <v>554</v>
      </c>
      <c r="G160" s="16" t="s">
        <v>897</v>
      </c>
      <c r="H160" s="46">
        <f>LEN($I160)</f>
        <v>230</v>
      </c>
      <c r="I160" s="16" t="s">
        <v>895</v>
      </c>
    </row>
    <row r="161" spans="1:9" x14ac:dyDescent="0.25">
      <c r="A161" s="15" t="s">
        <v>65</v>
      </c>
      <c r="B161" s="15" t="s">
        <v>502</v>
      </c>
      <c r="C161" s="43">
        <f>VLOOKUP($B161,KeywordGroupsLookup,3,FALSE)</f>
        <v>5</v>
      </c>
      <c r="D161" s="15" t="s">
        <v>321</v>
      </c>
      <c r="E161" s="16" t="s">
        <v>333</v>
      </c>
      <c r="F161" s="16" t="s">
        <v>139</v>
      </c>
      <c r="G161" s="16" t="s">
        <v>615</v>
      </c>
      <c r="H161" s="46">
        <f>LEN($I161)</f>
        <v>202</v>
      </c>
      <c r="I161" s="16" t="s">
        <v>614</v>
      </c>
    </row>
    <row r="162" spans="1:9" x14ac:dyDescent="0.25">
      <c r="A162" s="15" t="s">
        <v>251</v>
      </c>
      <c r="B162" s="15" t="s">
        <v>538</v>
      </c>
      <c r="C162" s="43">
        <f>VLOOKUP($B162,KeywordGroupsLookup,3,FALSE)</f>
        <v>18</v>
      </c>
      <c r="D162" s="15" t="s">
        <v>321</v>
      </c>
      <c r="E162" s="16" t="s">
        <v>335</v>
      </c>
      <c r="F162" s="16" t="s">
        <v>554</v>
      </c>
      <c r="G162" s="16" t="s">
        <v>554</v>
      </c>
      <c r="H162" s="46">
        <f>LEN($I162)</f>
        <v>91</v>
      </c>
      <c r="I162" s="16" t="s">
        <v>765</v>
      </c>
    </row>
    <row r="163" spans="1:9" x14ac:dyDescent="0.25">
      <c r="A163" s="15" t="s">
        <v>252</v>
      </c>
      <c r="B163" s="15" t="s">
        <v>538</v>
      </c>
      <c r="C163" s="43">
        <f>VLOOKUP($B163,KeywordGroupsLookup,3,FALSE)</f>
        <v>18</v>
      </c>
      <c r="D163" s="15" t="s">
        <v>321</v>
      </c>
      <c r="E163" s="16" t="s">
        <v>335</v>
      </c>
      <c r="F163" s="16" t="s">
        <v>554</v>
      </c>
      <c r="G163" s="16" t="s">
        <v>554</v>
      </c>
      <c r="H163" s="46">
        <f>LEN($I163)</f>
        <v>133</v>
      </c>
      <c r="I163" s="16" t="s">
        <v>766</v>
      </c>
    </row>
    <row r="164" spans="1:9" x14ac:dyDescent="0.25">
      <c r="A164" s="15" t="s">
        <v>253</v>
      </c>
      <c r="B164" s="15" t="s">
        <v>538</v>
      </c>
      <c r="C164" s="43">
        <f>VLOOKUP($B164,KeywordGroupsLookup,3,FALSE)</f>
        <v>18</v>
      </c>
      <c r="D164" s="15" t="s">
        <v>321</v>
      </c>
      <c r="E164" s="16" t="s">
        <v>335</v>
      </c>
      <c r="F164" s="16" t="s">
        <v>554</v>
      </c>
      <c r="G164" s="16" t="s">
        <v>554</v>
      </c>
      <c r="H164" s="46">
        <f>LEN($I164)</f>
        <v>51</v>
      </c>
      <c r="I164" s="16" t="s">
        <v>767</v>
      </c>
    </row>
    <row r="165" spans="1:9" x14ac:dyDescent="0.25">
      <c r="A165" s="15" t="s">
        <v>178</v>
      </c>
      <c r="B165" s="15" t="s">
        <v>551</v>
      </c>
      <c r="C165" s="43">
        <f>VLOOKUP($B165,KeywordGroupsLookup,3,FALSE)</f>
        <v>28</v>
      </c>
      <c r="D165" s="15" t="s">
        <v>145</v>
      </c>
      <c r="E165" s="16" t="s">
        <v>335</v>
      </c>
      <c r="F165" s="16" t="s">
        <v>579</v>
      </c>
      <c r="G165" s="16" t="s">
        <v>554</v>
      </c>
      <c r="H165" s="46">
        <f>LEN($I165)</f>
        <v>114</v>
      </c>
      <c r="I165" s="16" t="s">
        <v>915</v>
      </c>
    </row>
    <row r="166" spans="1:9" x14ac:dyDescent="0.25">
      <c r="A166" s="15" t="s">
        <v>177</v>
      </c>
      <c r="B166" s="15" t="s">
        <v>551</v>
      </c>
      <c r="C166" s="43">
        <f>VLOOKUP($B166,KeywordGroupsLookup,3,FALSE)</f>
        <v>28</v>
      </c>
      <c r="D166" s="15" t="s">
        <v>145</v>
      </c>
      <c r="E166" s="16" t="s">
        <v>335</v>
      </c>
      <c r="F166" s="16" t="s">
        <v>579</v>
      </c>
      <c r="G166" s="16" t="s">
        <v>554</v>
      </c>
      <c r="H166" s="46">
        <f>LEN($I166)</f>
        <v>197</v>
      </c>
      <c r="I166" s="16" t="s">
        <v>918</v>
      </c>
    </row>
    <row r="167" spans="1:9" x14ac:dyDescent="0.25">
      <c r="A167" s="15" t="s">
        <v>292</v>
      </c>
      <c r="B167" s="15" t="s">
        <v>544</v>
      </c>
      <c r="C167" s="43">
        <f>VLOOKUP($B167,KeywordGroupsLookup,3,FALSE)</f>
        <v>24</v>
      </c>
      <c r="D167" s="15" t="s">
        <v>322</v>
      </c>
      <c r="E167" s="16" t="s">
        <v>335</v>
      </c>
      <c r="F167" s="16" t="s">
        <v>554</v>
      </c>
      <c r="G167" s="16" t="s">
        <v>831</v>
      </c>
      <c r="H167" s="46">
        <f>LEN($I167)</f>
        <v>59</v>
      </c>
      <c r="I167" s="16" t="s">
        <v>830</v>
      </c>
    </row>
    <row r="168" spans="1:9" x14ac:dyDescent="0.25">
      <c r="A168" s="15" t="s">
        <v>66</v>
      </c>
      <c r="B168" s="15" t="s">
        <v>502</v>
      </c>
      <c r="C168" s="43">
        <f>VLOOKUP($B168,KeywordGroupsLookup,3,FALSE)</f>
        <v>5</v>
      </c>
      <c r="D168" s="15" t="s">
        <v>321</v>
      </c>
      <c r="E168" s="16" t="s">
        <v>333</v>
      </c>
      <c r="F168" s="16" t="s">
        <v>139</v>
      </c>
      <c r="G168" s="16" t="s">
        <v>613</v>
      </c>
      <c r="H168" s="46">
        <f>LEN($I168)</f>
        <v>56</v>
      </c>
      <c r="I168" s="16" t="s">
        <v>616</v>
      </c>
    </row>
    <row r="169" spans="1:9" x14ac:dyDescent="0.25">
      <c r="A169" s="15" t="s">
        <v>83</v>
      </c>
      <c r="B169" s="15" t="s">
        <v>498</v>
      </c>
      <c r="C169" s="43">
        <f>VLOOKUP($B169,KeywordGroupsLookup,3,FALSE)</f>
        <v>7</v>
      </c>
      <c r="D169" s="15" t="s">
        <v>321</v>
      </c>
      <c r="E169" s="16" t="s">
        <v>333</v>
      </c>
      <c r="F169" s="16" t="s">
        <v>139</v>
      </c>
      <c r="G169" s="16" t="s">
        <v>554</v>
      </c>
      <c r="H169" s="46">
        <f>LEN($I169)</f>
        <v>135</v>
      </c>
      <c r="I169" s="16" t="s">
        <v>636</v>
      </c>
    </row>
    <row r="170" spans="1:9" x14ac:dyDescent="0.25">
      <c r="A170" s="15" t="s">
        <v>316</v>
      </c>
      <c r="B170" s="15" t="s">
        <v>545</v>
      </c>
      <c r="C170" s="43">
        <f>VLOOKUP($B170,KeywordGroupsLookup,3,FALSE)</f>
        <v>25</v>
      </c>
      <c r="D170" s="15" t="s">
        <v>146</v>
      </c>
      <c r="E170" s="16" t="s">
        <v>335</v>
      </c>
      <c r="F170" s="16" t="s">
        <v>554</v>
      </c>
      <c r="G170" s="16" t="s">
        <v>862</v>
      </c>
      <c r="H170" s="46">
        <f>LEN($I170)</f>
        <v>285</v>
      </c>
      <c r="I170" s="16" t="s">
        <v>863</v>
      </c>
    </row>
    <row r="171" spans="1:9" x14ac:dyDescent="0.25">
      <c r="A171" s="15" t="s">
        <v>270</v>
      </c>
      <c r="B171" s="15" t="s">
        <v>541</v>
      </c>
      <c r="C171" s="43">
        <f>VLOOKUP($B171,KeywordGroupsLookup,3,FALSE)</f>
        <v>21</v>
      </c>
      <c r="D171" s="15" t="s">
        <v>322</v>
      </c>
      <c r="E171" s="16" t="s">
        <v>335</v>
      </c>
      <c r="F171" s="16" t="s">
        <v>554</v>
      </c>
      <c r="G171" s="16" t="s">
        <v>787</v>
      </c>
      <c r="H171" s="46">
        <f>LEN($I171)</f>
        <v>59</v>
      </c>
      <c r="I171" s="16" t="s">
        <v>797</v>
      </c>
    </row>
    <row r="172" spans="1:9" x14ac:dyDescent="0.25">
      <c r="A172" s="15" t="s">
        <v>84</v>
      </c>
      <c r="B172" s="15" t="s">
        <v>498</v>
      </c>
      <c r="C172" s="43">
        <f>VLOOKUP($B172,KeywordGroupsLookup,3,FALSE)</f>
        <v>7</v>
      </c>
      <c r="D172" s="15" t="s">
        <v>321</v>
      </c>
      <c r="E172" s="16" t="s">
        <v>333</v>
      </c>
      <c r="F172" s="16" t="s">
        <v>139</v>
      </c>
      <c r="G172" s="16" t="s">
        <v>620</v>
      </c>
      <c r="H172" s="46">
        <f>LEN($I172)</f>
        <v>100</v>
      </c>
      <c r="I172" s="16" t="s">
        <v>637</v>
      </c>
    </row>
    <row r="173" spans="1:9" x14ac:dyDescent="0.25">
      <c r="A173" s="15" t="s">
        <v>85</v>
      </c>
      <c r="B173" s="15" t="s">
        <v>498</v>
      </c>
      <c r="C173" s="43">
        <f>VLOOKUP($B173,KeywordGroupsLookup,3,FALSE)</f>
        <v>7</v>
      </c>
      <c r="D173" s="15" t="s">
        <v>321</v>
      </c>
      <c r="E173" s="16" t="s">
        <v>333</v>
      </c>
      <c r="F173" s="16" t="s">
        <v>139</v>
      </c>
      <c r="G173" s="16" t="s">
        <v>620</v>
      </c>
      <c r="H173" s="46">
        <f>LEN($I173)</f>
        <v>62</v>
      </c>
      <c r="I173" s="16" t="s">
        <v>638</v>
      </c>
    </row>
    <row r="174" spans="1:9" x14ac:dyDescent="0.25">
      <c r="A174" s="15" t="s">
        <v>257</v>
      </c>
      <c r="B174" s="15" t="s">
        <v>539</v>
      </c>
      <c r="C174" s="43">
        <f>VLOOKUP($B174,KeywordGroupsLookup,3,FALSE)</f>
        <v>19</v>
      </c>
      <c r="D174" s="15" t="s">
        <v>322</v>
      </c>
      <c r="E174" s="16" t="s">
        <v>335</v>
      </c>
      <c r="F174" s="16" t="s">
        <v>554</v>
      </c>
      <c r="G174" s="16" t="s">
        <v>774</v>
      </c>
      <c r="H174" s="46">
        <f>LEN($I174)</f>
        <v>71</v>
      </c>
      <c r="I174" s="16" t="s">
        <v>773</v>
      </c>
    </row>
    <row r="175" spans="1:9" x14ac:dyDescent="0.25">
      <c r="A175" s="15" t="s">
        <v>277</v>
      </c>
      <c r="B175" s="15" t="s">
        <v>542</v>
      </c>
      <c r="C175" s="43">
        <f>VLOOKUP($B175,KeywordGroupsLookup,3,FALSE)</f>
        <v>22</v>
      </c>
      <c r="D175" s="15" t="s">
        <v>146</v>
      </c>
      <c r="E175" s="16" t="s">
        <v>335</v>
      </c>
      <c r="F175" s="16" t="s">
        <v>554</v>
      </c>
      <c r="G175" s="16" t="s">
        <v>554</v>
      </c>
      <c r="H175" s="46">
        <f>LEN($I175)</f>
        <v>86</v>
      </c>
      <c r="I175" s="16" t="s">
        <v>805</v>
      </c>
    </row>
    <row r="176" spans="1:9" x14ac:dyDescent="0.25">
      <c r="A176" s="15" t="s">
        <v>101</v>
      </c>
      <c r="B176" s="15" t="s">
        <v>505</v>
      </c>
      <c r="C176" s="43">
        <f>VLOOKUP($B176,KeywordGroupsLookup,3,FALSE)</f>
        <v>8</v>
      </c>
      <c r="D176" s="15" t="s">
        <v>321</v>
      </c>
      <c r="E176" s="16" t="s">
        <v>333</v>
      </c>
      <c r="F176" s="16" t="s">
        <v>579</v>
      </c>
      <c r="G176" s="16" t="s">
        <v>658</v>
      </c>
      <c r="H176" s="46">
        <f>LEN($I176)</f>
        <v>206</v>
      </c>
      <c r="I176" s="16" t="s">
        <v>657</v>
      </c>
    </row>
    <row r="177" spans="1:9" x14ac:dyDescent="0.25">
      <c r="A177" s="15" t="s">
        <v>271</v>
      </c>
      <c r="B177" s="15" t="s">
        <v>541</v>
      </c>
      <c r="C177" s="43">
        <f>VLOOKUP($B177,KeywordGroupsLookup,3,FALSE)</f>
        <v>21</v>
      </c>
      <c r="D177" s="15" t="s">
        <v>146</v>
      </c>
      <c r="E177" s="16" t="s">
        <v>335</v>
      </c>
      <c r="F177" s="16" t="s">
        <v>554</v>
      </c>
      <c r="G177" s="16" t="s">
        <v>554</v>
      </c>
      <c r="H177" s="46">
        <f>LEN($I177)</f>
        <v>140</v>
      </c>
      <c r="I177" s="16" t="s">
        <v>798</v>
      </c>
    </row>
    <row r="178" spans="1:9" x14ac:dyDescent="0.25">
      <c r="A178" s="15" t="s">
        <v>258</v>
      </c>
      <c r="B178" s="15" t="s">
        <v>540</v>
      </c>
      <c r="C178" s="43">
        <f>VLOOKUP($B178,KeywordGroupsLookup,3,FALSE)</f>
        <v>20</v>
      </c>
      <c r="D178" s="15" t="s">
        <v>145</v>
      </c>
      <c r="E178" s="16" t="s">
        <v>335</v>
      </c>
      <c r="F178" s="16" t="s">
        <v>142</v>
      </c>
      <c r="G178" s="16" t="s">
        <v>554</v>
      </c>
      <c r="H178" s="46">
        <f>LEN($I178)</f>
        <v>302</v>
      </c>
      <c r="I178" s="16" t="s">
        <v>782</v>
      </c>
    </row>
    <row r="179" spans="1:9" x14ac:dyDescent="0.25">
      <c r="A179" s="15" t="s">
        <v>259</v>
      </c>
      <c r="B179" s="15" t="s">
        <v>540</v>
      </c>
      <c r="C179" s="43">
        <f>VLOOKUP($B179,KeywordGroupsLookup,3,FALSE)</f>
        <v>20</v>
      </c>
      <c r="D179" s="15" t="s">
        <v>322</v>
      </c>
      <c r="E179" s="16" t="s">
        <v>335</v>
      </c>
      <c r="F179" s="16" t="s">
        <v>554</v>
      </c>
      <c r="G179" s="16" t="s">
        <v>779</v>
      </c>
      <c r="H179" s="46">
        <f>LEN($I179)</f>
        <v>391</v>
      </c>
      <c r="I179" s="16" t="s">
        <v>778</v>
      </c>
    </row>
    <row r="180" spans="1:9" x14ac:dyDescent="0.25">
      <c r="A180" s="15" t="s">
        <v>547</v>
      </c>
      <c r="B180" s="15" t="s">
        <v>540</v>
      </c>
      <c r="C180" s="43">
        <f>VLOOKUP($B180,KeywordGroupsLookup,3,FALSE)</f>
        <v>20</v>
      </c>
      <c r="D180" s="15" t="s">
        <v>322</v>
      </c>
      <c r="E180" s="16" t="s">
        <v>335</v>
      </c>
      <c r="F180" s="16" t="s">
        <v>577</v>
      </c>
      <c r="G180" s="16" t="s">
        <v>777</v>
      </c>
      <c r="H180" s="46">
        <f>LEN($I180)</f>
        <v>98</v>
      </c>
      <c r="I180" s="16" t="s">
        <v>776</v>
      </c>
    </row>
    <row r="181" spans="1:9" x14ac:dyDescent="0.25">
      <c r="A181" s="15" t="s">
        <v>278</v>
      </c>
      <c r="B181" s="15" t="s">
        <v>542</v>
      </c>
      <c r="C181" s="43">
        <f>VLOOKUP($B181,KeywordGroupsLookup,3,FALSE)</f>
        <v>22</v>
      </c>
      <c r="D181" s="15" t="s">
        <v>322</v>
      </c>
      <c r="E181" s="16" t="s">
        <v>335</v>
      </c>
      <c r="F181" s="16" t="s">
        <v>554</v>
      </c>
      <c r="G181" s="16" t="s">
        <v>554</v>
      </c>
      <c r="H181" s="46">
        <f>LEN($I181)</f>
        <v>142</v>
      </c>
      <c r="I181" s="16" t="s">
        <v>806</v>
      </c>
    </row>
    <row r="182" spans="1:9" x14ac:dyDescent="0.25">
      <c r="A182" s="15" t="s">
        <v>119</v>
      </c>
      <c r="B182" s="15" t="s">
        <v>509</v>
      </c>
      <c r="C182" s="43">
        <f>VLOOKUP($B182,KeywordGroupsLookup,3,FALSE)</f>
        <v>12</v>
      </c>
      <c r="D182" s="15" t="s">
        <v>321</v>
      </c>
      <c r="E182" s="16" t="s">
        <v>335</v>
      </c>
      <c r="F182" s="16" t="s">
        <v>554</v>
      </c>
      <c r="G182" s="16" t="s">
        <v>686</v>
      </c>
      <c r="H182" s="46">
        <f>LEN($I182)</f>
        <v>399</v>
      </c>
      <c r="I182" s="16" t="s">
        <v>685</v>
      </c>
    </row>
    <row r="183" spans="1:9" x14ac:dyDescent="0.25">
      <c r="A183" s="15" t="s">
        <v>111</v>
      </c>
      <c r="B183" s="15" t="s">
        <v>507</v>
      </c>
      <c r="C183" s="43">
        <f>VLOOKUP($B183,KeywordGroupsLookup,3,FALSE)</f>
        <v>10</v>
      </c>
      <c r="D183" s="15" t="s">
        <v>145</v>
      </c>
      <c r="E183" s="16" t="s">
        <v>335</v>
      </c>
      <c r="F183" s="16" t="s">
        <v>554</v>
      </c>
      <c r="G183" s="16" t="s">
        <v>673</v>
      </c>
      <c r="H183" s="46">
        <f>LEN($I183)</f>
        <v>258</v>
      </c>
      <c r="I183" s="16" t="s">
        <v>672</v>
      </c>
    </row>
    <row r="184" spans="1:9" x14ac:dyDescent="0.25">
      <c r="A184" s="15" t="s">
        <v>242</v>
      </c>
      <c r="B184" s="15" t="s">
        <v>537</v>
      </c>
      <c r="C184" s="43">
        <f>VLOOKUP($B184,KeywordGroupsLookup,3,FALSE)</f>
        <v>17</v>
      </c>
      <c r="D184" s="15" t="s">
        <v>145</v>
      </c>
      <c r="E184" s="16" t="s">
        <v>335</v>
      </c>
      <c r="F184" s="16" t="s">
        <v>554</v>
      </c>
      <c r="G184" s="16" t="s">
        <v>686</v>
      </c>
      <c r="H184" s="46">
        <f>LEN($I184)</f>
        <v>133</v>
      </c>
      <c r="I184" s="16" t="s">
        <v>751</v>
      </c>
    </row>
    <row r="185" spans="1:9" x14ac:dyDescent="0.25">
      <c r="A185" s="15" t="s">
        <v>112</v>
      </c>
      <c r="B185" s="15" t="s">
        <v>507</v>
      </c>
      <c r="C185" s="43">
        <f>VLOOKUP($B185,KeywordGroupsLookup,3,FALSE)</f>
        <v>10</v>
      </c>
      <c r="D185" s="15" t="s">
        <v>145</v>
      </c>
      <c r="E185" s="16" t="s">
        <v>335</v>
      </c>
      <c r="F185" s="16" t="s">
        <v>554</v>
      </c>
      <c r="G185" s="16" t="s">
        <v>673</v>
      </c>
      <c r="H185" s="46">
        <f>LEN($I185)</f>
        <v>138</v>
      </c>
      <c r="I185" s="16" t="s">
        <v>674</v>
      </c>
    </row>
    <row r="186" spans="1:9" x14ac:dyDescent="0.25">
      <c r="A186" s="15" t="s">
        <v>261</v>
      </c>
      <c r="B186" s="15" t="s">
        <v>540</v>
      </c>
      <c r="C186" s="43">
        <f>VLOOKUP($B186,KeywordGroupsLookup,3,FALSE)</f>
        <v>20</v>
      </c>
      <c r="D186" s="15" t="s">
        <v>322</v>
      </c>
      <c r="E186" s="16" t="s">
        <v>335</v>
      </c>
      <c r="F186" s="16" t="s">
        <v>554</v>
      </c>
      <c r="G186" s="16" t="s">
        <v>781</v>
      </c>
      <c r="H186" s="46">
        <f>LEN($I186)</f>
        <v>183</v>
      </c>
      <c r="I186" s="16" t="s">
        <v>780</v>
      </c>
    </row>
    <row r="187" spans="1:9" x14ac:dyDescent="0.25">
      <c r="A187" s="15" t="s">
        <v>86</v>
      </c>
      <c r="B187" s="15" t="s">
        <v>498</v>
      </c>
      <c r="C187" s="43">
        <f>VLOOKUP($B187,KeywordGroupsLookup,3,FALSE)</f>
        <v>7</v>
      </c>
      <c r="D187" s="15" t="s">
        <v>321</v>
      </c>
      <c r="E187" s="16" t="s">
        <v>333</v>
      </c>
      <c r="F187" s="16" t="s">
        <v>139</v>
      </c>
      <c r="G187" s="16" t="s">
        <v>620</v>
      </c>
      <c r="H187" s="46">
        <f>LEN($I187)</f>
        <v>168</v>
      </c>
      <c r="I187" s="16" t="s">
        <v>639</v>
      </c>
    </row>
    <row r="188" spans="1:9" x14ac:dyDescent="0.25">
      <c r="A188" s="15" t="s">
        <v>87</v>
      </c>
      <c r="B188" s="15" t="s">
        <v>498</v>
      </c>
      <c r="C188" s="43">
        <f>VLOOKUP($B188,KeywordGroupsLookup,3,FALSE)</f>
        <v>7</v>
      </c>
      <c r="D188" s="15" t="s">
        <v>321</v>
      </c>
      <c r="E188" s="16" t="s">
        <v>333</v>
      </c>
      <c r="F188" s="16" t="s">
        <v>139</v>
      </c>
      <c r="G188" s="16" t="s">
        <v>620</v>
      </c>
      <c r="H188" s="46">
        <f>LEN($I188)</f>
        <v>38</v>
      </c>
      <c r="I188" s="16" t="s">
        <v>640</v>
      </c>
    </row>
    <row r="189" spans="1:9" x14ac:dyDescent="0.25">
      <c r="A189" s="15" t="s">
        <v>108</v>
      </c>
      <c r="B189" s="15" t="s">
        <v>506</v>
      </c>
      <c r="C189" s="43">
        <f>VLOOKUP($B189,KeywordGroupsLookup,3,FALSE)</f>
        <v>9</v>
      </c>
      <c r="D189" s="15" t="s">
        <v>146</v>
      </c>
      <c r="E189" s="16" t="s">
        <v>334</v>
      </c>
      <c r="F189" s="16" t="s">
        <v>554</v>
      </c>
      <c r="G189" s="16" t="s">
        <v>554</v>
      </c>
      <c r="H189" s="46">
        <f>LEN($I189)</f>
        <v>442</v>
      </c>
      <c r="I189" s="16" t="s">
        <v>667</v>
      </c>
    </row>
    <row r="190" spans="1:9" x14ac:dyDescent="0.25">
      <c r="A190" s="15" t="s">
        <v>88</v>
      </c>
      <c r="B190" s="15" t="s">
        <v>498</v>
      </c>
      <c r="C190" s="43">
        <f>VLOOKUP($B190,KeywordGroupsLookup,3,FALSE)</f>
        <v>7</v>
      </c>
      <c r="D190" s="15" t="s">
        <v>321</v>
      </c>
      <c r="E190" s="16" t="s">
        <v>333</v>
      </c>
      <c r="F190" s="16" t="s">
        <v>139</v>
      </c>
      <c r="G190" s="16" t="s">
        <v>620</v>
      </c>
      <c r="H190" s="46">
        <f>LEN($I190)</f>
        <v>46</v>
      </c>
      <c r="I190" s="16" t="s">
        <v>641</v>
      </c>
    </row>
    <row r="191" spans="1:9" x14ac:dyDescent="0.25">
      <c r="A191" s="15" t="s">
        <v>69</v>
      </c>
      <c r="B191" s="15" t="s">
        <v>504</v>
      </c>
      <c r="C191" s="43">
        <f>VLOOKUP($B191,KeywordGroupsLookup,3,FALSE)</f>
        <v>6</v>
      </c>
      <c r="D191" s="15" t="s">
        <v>146</v>
      </c>
      <c r="E191" s="16" t="s">
        <v>334</v>
      </c>
      <c r="F191" s="16" t="s">
        <v>554</v>
      </c>
      <c r="G191" s="16" t="s">
        <v>554</v>
      </c>
      <c r="H191" s="46">
        <f>LEN($I191)</f>
        <v>72</v>
      </c>
      <c r="I191" s="16" t="s">
        <v>618</v>
      </c>
    </row>
    <row r="192" spans="1:9" x14ac:dyDescent="0.25">
      <c r="A192" s="15" t="s">
        <v>102</v>
      </c>
      <c r="B192" s="15" t="s">
        <v>505</v>
      </c>
      <c r="C192" s="43">
        <f>VLOOKUP($B192,KeywordGroupsLookup,3,FALSE)</f>
        <v>8</v>
      </c>
      <c r="D192" s="15" t="s">
        <v>321</v>
      </c>
      <c r="E192" s="16" t="s">
        <v>333</v>
      </c>
      <c r="F192" s="16" t="s">
        <v>142</v>
      </c>
      <c r="G192" s="16" t="s">
        <v>659</v>
      </c>
      <c r="H192" s="46">
        <f>LEN($I192)</f>
        <v>34</v>
      </c>
      <c r="I192" s="16" t="s">
        <v>660</v>
      </c>
    </row>
    <row r="193" spans="1:9" x14ac:dyDescent="0.25">
      <c r="A193" s="15" t="s">
        <v>181</v>
      </c>
      <c r="B193" s="15" t="s">
        <v>550</v>
      </c>
      <c r="C193" s="43">
        <f>VLOOKUP($B193,KeywordGroupsLookup,3,FALSE)</f>
        <v>27</v>
      </c>
      <c r="D193" s="15" t="s">
        <v>321</v>
      </c>
      <c r="E193" s="16" t="s">
        <v>335</v>
      </c>
      <c r="F193" s="16" t="s">
        <v>554</v>
      </c>
      <c r="G193" s="16" t="s">
        <v>913</v>
      </c>
      <c r="H193" s="46">
        <f>LEN($I193)</f>
        <v>53</v>
      </c>
      <c r="I193" s="16" t="s">
        <v>912</v>
      </c>
    </row>
    <row r="194" spans="1:9" x14ac:dyDescent="0.25">
      <c r="A194" s="15" t="s">
        <v>176</v>
      </c>
      <c r="B194" s="15" t="s">
        <v>552</v>
      </c>
      <c r="C194" s="43">
        <f>VLOOKUP($B194,KeywordGroupsLookup,3,FALSE)</f>
        <v>29</v>
      </c>
      <c r="D194" s="15" t="s">
        <v>321</v>
      </c>
      <c r="E194" s="16" t="s">
        <v>335</v>
      </c>
      <c r="F194" s="16" t="s">
        <v>554</v>
      </c>
      <c r="G194" s="16" t="s">
        <v>913</v>
      </c>
      <c r="H194" s="46">
        <f>LEN($I194)</f>
        <v>51</v>
      </c>
      <c r="I194" s="16" t="s">
        <v>920</v>
      </c>
    </row>
    <row r="195" spans="1:9" x14ac:dyDescent="0.25">
      <c r="A195" s="15" t="s">
        <v>317</v>
      </c>
      <c r="B195" s="15" t="s">
        <v>545</v>
      </c>
      <c r="C195" s="43">
        <f>VLOOKUP($B195,KeywordGroupsLookup,3,FALSE)</f>
        <v>25</v>
      </c>
      <c r="D195" s="15" t="s">
        <v>321</v>
      </c>
      <c r="E195" s="16" t="s">
        <v>335</v>
      </c>
      <c r="F195" s="16" t="s">
        <v>139</v>
      </c>
      <c r="G195" s="16" t="s">
        <v>868</v>
      </c>
      <c r="H195" s="46">
        <f>LEN($I195)</f>
        <v>168</v>
      </c>
      <c r="I195" s="16" t="s">
        <v>864</v>
      </c>
    </row>
    <row r="196" spans="1:9" x14ac:dyDescent="0.25">
      <c r="A196" s="15" t="s">
        <v>318</v>
      </c>
      <c r="B196" s="15" t="s">
        <v>545</v>
      </c>
      <c r="C196" s="43">
        <f>VLOOKUP($B196,KeywordGroupsLookup,3,FALSE)</f>
        <v>25</v>
      </c>
      <c r="D196" s="15" t="s">
        <v>321</v>
      </c>
      <c r="E196" s="16" t="s">
        <v>335</v>
      </c>
      <c r="F196" s="16" t="s">
        <v>139</v>
      </c>
      <c r="G196" s="16" t="s">
        <v>867</v>
      </c>
      <c r="H196" s="46">
        <f>LEN($I196)</f>
        <v>104</v>
      </c>
      <c r="I196" s="16" t="s">
        <v>865</v>
      </c>
    </row>
    <row r="197" spans="1:9" x14ac:dyDescent="0.25">
      <c r="A197" s="15" t="s">
        <v>279</v>
      </c>
      <c r="B197" s="15" t="s">
        <v>543</v>
      </c>
      <c r="C197" s="43">
        <f>VLOOKUP($B197,KeywordGroupsLookup,3,FALSE)</f>
        <v>23</v>
      </c>
      <c r="D197" s="15" t="s">
        <v>322</v>
      </c>
      <c r="E197" s="16" t="s">
        <v>335</v>
      </c>
      <c r="F197" s="16" t="s">
        <v>577</v>
      </c>
      <c r="G197" s="16" t="s">
        <v>808</v>
      </c>
      <c r="H197" s="46">
        <f>LEN($I197)</f>
        <v>115</v>
      </c>
      <c r="I197" s="16" t="s">
        <v>807</v>
      </c>
    </row>
    <row r="198" spans="1:9" x14ac:dyDescent="0.25">
      <c r="A198" s="15" t="s">
        <v>280</v>
      </c>
      <c r="B198" s="15" t="s">
        <v>543</v>
      </c>
      <c r="C198" s="43">
        <f>VLOOKUP($B198,KeywordGroupsLookup,3,FALSE)</f>
        <v>23</v>
      </c>
      <c r="D198" s="15" t="s">
        <v>322</v>
      </c>
      <c r="E198" s="16" t="s">
        <v>335</v>
      </c>
      <c r="F198" s="16" t="s">
        <v>554</v>
      </c>
      <c r="G198" s="16" t="s">
        <v>810</v>
      </c>
      <c r="H198" s="46">
        <f>LEN($I198)</f>
        <v>70</v>
      </c>
      <c r="I198" s="16" t="s">
        <v>809</v>
      </c>
    </row>
    <row r="199" spans="1:9" x14ac:dyDescent="0.25">
      <c r="A199" s="15" t="s">
        <v>281</v>
      </c>
      <c r="B199" s="15" t="s">
        <v>543</v>
      </c>
      <c r="C199" s="43">
        <f>VLOOKUP($B199,KeywordGroupsLookup,3,FALSE)</f>
        <v>23</v>
      </c>
      <c r="D199" s="15" t="s">
        <v>322</v>
      </c>
      <c r="E199" s="16" t="s">
        <v>335</v>
      </c>
      <c r="F199" s="16" t="s">
        <v>554</v>
      </c>
      <c r="G199" s="16" t="s">
        <v>812</v>
      </c>
      <c r="H199" s="46">
        <f>LEN($I199)</f>
        <v>71</v>
      </c>
      <c r="I199" s="16" t="s">
        <v>811</v>
      </c>
    </row>
    <row r="200" spans="1:9" x14ac:dyDescent="0.25">
      <c r="A200" s="15" t="s">
        <v>282</v>
      </c>
      <c r="B200" s="15" t="s">
        <v>543</v>
      </c>
      <c r="C200" s="43">
        <f>VLOOKUP($B200,KeywordGroupsLookup,3,FALSE)</f>
        <v>23</v>
      </c>
      <c r="D200" s="15" t="s">
        <v>322</v>
      </c>
      <c r="E200" s="16" t="s">
        <v>335</v>
      </c>
      <c r="F200" s="16" t="s">
        <v>554</v>
      </c>
      <c r="G200" s="16" t="s">
        <v>814</v>
      </c>
      <c r="H200" s="46">
        <f>LEN($I200)</f>
        <v>56</v>
      </c>
      <c r="I200" s="16" t="s">
        <v>813</v>
      </c>
    </row>
    <row r="201" spans="1:9" x14ac:dyDescent="0.25">
      <c r="A201" s="15" t="s">
        <v>283</v>
      </c>
      <c r="B201" s="15" t="s">
        <v>543</v>
      </c>
      <c r="C201" s="43">
        <f>VLOOKUP($B201,KeywordGroupsLookup,3,FALSE)</f>
        <v>23</v>
      </c>
      <c r="D201" s="15" t="s">
        <v>322</v>
      </c>
      <c r="E201" s="16" t="s">
        <v>335</v>
      </c>
      <c r="F201" s="16" t="s">
        <v>554</v>
      </c>
      <c r="G201" s="16" t="s">
        <v>814</v>
      </c>
      <c r="H201" s="46">
        <f>LEN($I201)</f>
        <v>53</v>
      </c>
      <c r="I201" s="16" t="s">
        <v>815</v>
      </c>
    </row>
    <row r="202" spans="1:9" x14ac:dyDescent="0.25">
      <c r="A202" s="15" t="s">
        <v>284</v>
      </c>
      <c r="B202" s="15" t="s">
        <v>543</v>
      </c>
      <c r="C202" s="43">
        <f>VLOOKUP($B202,KeywordGroupsLookup,3,FALSE)</f>
        <v>23</v>
      </c>
      <c r="D202" s="15" t="s">
        <v>322</v>
      </c>
      <c r="E202" s="16" t="s">
        <v>335</v>
      </c>
      <c r="F202" s="16" t="s">
        <v>554</v>
      </c>
      <c r="G202" s="16" t="s">
        <v>816</v>
      </c>
      <c r="H202" s="46">
        <f>LEN($I202)</f>
        <v>47</v>
      </c>
      <c r="I202" s="16" t="s">
        <v>817</v>
      </c>
    </row>
    <row r="203" spans="1:9" x14ac:dyDescent="0.25">
      <c r="A203" s="15" t="s">
        <v>285</v>
      </c>
      <c r="B203" s="15" t="s">
        <v>543</v>
      </c>
      <c r="C203" s="43">
        <f>VLOOKUP($B203,KeywordGroupsLookup,3,FALSE)</f>
        <v>23</v>
      </c>
      <c r="D203" s="15" t="s">
        <v>322</v>
      </c>
      <c r="E203" s="16" t="s">
        <v>335</v>
      </c>
      <c r="F203" s="16" t="s">
        <v>554</v>
      </c>
      <c r="G203" s="16" t="s">
        <v>819</v>
      </c>
      <c r="H203" s="46">
        <f>LEN($I203)</f>
        <v>52</v>
      </c>
      <c r="I203" s="16" t="s">
        <v>818</v>
      </c>
    </row>
    <row r="204" spans="1:9" x14ac:dyDescent="0.25">
      <c r="A204" s="15" t="s">
        <v>286</v>
      </c>
      <c r="B204" s="15" t="s">
        <v>543</v>
      </c>
      <c r="C204" s="43">
        <f>VLOOKUP($B204,KeywordGroupsLookup,3,FALSE)</f>
        <v>23</v>
      </c>
      <c r="D204" s="15" t="s">
        <v>321</v>
      </c>
      <c r="E204" s="16" t="s">
        <v>335</v>
      </c>
      <c r="F204" s="16" t="s">
        <v>577</v>
      </c>
      <c r="G204" s="16" t="s">
        <v>814</v>
      </c>
      <c r="H204" s="46">
        <f>LEN($I204)</f>
        <v>65</v>
      </c>
      <c r="I204" s="16" t="s">
        <v>820</v>
      </c>
    </row>
    <row r="205" spans="1:9" x14ac:dyDescent="0.25">
      <c r="A205" s="15" t="s">
        <v>287</v>
      </c>
      <c r="B205" s="15" t="s">
        <v>543</v>
      </c>
      <c r="C205" s="43">
        <f>VLOOKUP($B205,KeywordGroupsLookup,3,FALSE)</f>
        <v>23</v>
      </c>
      <c r="D205" s="15" t="s">
        <v>322</v>
      </c>
      <c r="E205" s="16" t="s">
        <v>335</v>
      </c>
      <c r="F205" s="16" t="s">
        <v>554</v>
      </c>
      <c r="G205" s="16" t="s">
        <v>822</v>
      </c>
      <c r="H205" s="46">
        <f>LEN($I205)</f>
        <v>284</v>
      </c>
      <c r="I205" s="16" t="s">
        <v>821</v>
      </c>
    </row>
    <row r="206" spans="1:9" x14ac:dyDescent="0.25">
      <c r="A206" s="15" t="s">
        <v>288</v>
      </c>
      <c r="B206" s="15" t="s">
        <v>543</v>
      </c>
      <c r="C206" s="43">
        <f>VLOOKUP($B206,KeywordGroupsLookup,3,FALSE)</f>
        <v>23</v>
      </c>
      <c r="D206" s="15" t="s">
        <v>322</v>
      </c>
      <c r="E206" s="16" t="s">
        <v>335</v>
      </c>
      <c r="F206" s="16" t="s">
        <v>554</v>
      </c>
      <c r="G206" s="16" t="s">
        <v>824</v>
      </c>
      <c r="H206" s="46">
        <f>LEN($I206)</f>
        <v>278</v>
      </c>
      <c r="I206" s="16" t="s">
        <v>823</v>
      </c>
    </row>
    <row r="207" spans="1:9" x14ac:dyDescent="0.25">
      <c r="A207" s="15" t="s">
        <v>289</v>
      </c>
      <c r="B207" s="15" t="s">
        <v>543</v>
      </c>
      <c r="C207" s="43">
        <f>VLOOKUP($B207,KeywordGroupsLookup,3,FALSE)</f>
        <v>23</v>
      </c>
      <c r="D207" s="15" t="s">
        <v>321</v>
      </c>
      <c r="E207" s="16" t="s">
        <v>335</v>
      </c>
      <c r="F207" s="16" t="s">
        <v>142</v>
      </c>
      <c r="G207" s="16" t="s">
        <v>826</v>
      </c>
      <c r="H207" s="46">
        <f>LEN($I207)</f>
        <v>98</v>
      </c>
      <c r="I207" s="16" t="s">
        <v>825</v>
      </c>
    </row>
    <row r="208" spans="1:9" x14ac:dyDescent="0.25">
      <c r="A208" s="15" t="s">
        <v>290</v>
      </c>
      <c r="B208" s="15" t="s">
        <v>543</v>
      </c>
      <c r="C208" s="43">
        <f>VLOOKUP($B208,KeywordGroupsLookup,3,FALSE)</f>
        <v>23</v>
      </c>
      <c r="D208" s="15" t="s">
        <v>321</v>
      </c>
      <c r="E208" s="16" t="s">
        <v>335</v>
      </c>
      <c r="F208" s="16" t="s">
        <v>579</v>
      </c>
      <c r="G208" s="16" t="s">
        <v>814</v>
      </c>
      <c r="H208" s="46">
        <f>LEN($I208)</f>
        <v>57</v>
      </c>
      <c r="I208" s="16" t="s">
        <v>827</v>
      </c>
    </row>
    <row r="209" spans="1:9" x14ac:dyDescent="0.25">
      <c r="A209" s="15" t="s">
        <v>291</v>
      </c>
      <c r="B209" s="15" t="s">
        <v>543</v>
      </c>
      <c r="C209" s="43">
        <f>VLOOKUP($B209,KeywordGroupsLookup,3,FALSE)</f>
        <v>23</v>
      </c>
      <c r="D209" s="15" t="s">
        <v>321</v>
      </c>
      <c r="E209" s="16" t="s">
        <v>335</v>
      </c>
      <c r="F209" s="16" t="s">
        <v>577</v>
      </c>
      <c r="G209" s="16" t="s">
        <v>828</v>
      </c>
      <c r="H209" s="46">
        <f>LEN($I209)</f>
        <v>72</v>
      </c>
      <c r="I209" s="16" t="s">
        <v>829</v>
      </c>
    </row>
    <row r="210" spans="1:9" x14ac:dyDescent="0.25">
      <c r="A210" s="15" t="s">
        <v>103</v>
      </c>
      <c r="B210" s="15" t="s">
        <v>505</v>
      </c>
      <c r="C210" s="43">
        <f>VLOOKUP($B210,KeywordGroupsLookup,3,FALSE)</f>
        <v>8</v>
      </c>
      <c r="D210" s="15" t="s">
        <v>321</v>
      </c>
      <c r="E210" s="16" t="s">
        <v>333</v>
      </c>
      <c r="F210" s="16" t="s">
        <v>142</v>
      </c>
      <c r="G210" s="16" t="s">
        <v>662</v>
      </c>
      <c r="H210" s="46">
        <f>LEN($I210)</f>
        <v>44</v>
      </c>
      <c r="I210" s="16" t="s">
        <v>661</v>
      </c>
    </row>
    <row r="211" spans="1:9" x14ac:dyDescent="0.25">
      <c r="A211" s="15" t="s">
        <v>197</v>
      </c>
      <c r="B211" s="15" t="s">
        <v>549</v>
      </c>
      <c r="C211" s="43">
        <f>VLOOKUP($B211,KeywordGroupsLookup,3,FALSE)</f>
        <v>26</v>
      </c>
      <c r="D211" s="15" t="s">
        <v>145</v>
      </c>
      <c r="E211" s="16" t="s">
        <v>334</v>
      </c>
      <c r="F211" s="16" t="s">
        <v>142</v>
      </c>
      <c r="G211" s="16" t="s">
        <v>554</v>
      </c>
      <c r="H211" s="46">
        <f>LEN($I211)</f>
        <v>194</v>
      </c>
      <c r="I211" s="16" t="s">
        <v>894</v>
      </c>
    </row>
    <row r="212" spans="1:9" x14ac:dyDescent="0.25">
      <c r="A212" s="15" t="s">
        <v>546</v>
      </c>
      <c r="B212" s="15" t="s">
        <v>538</v>
      </c>
      <c r="C212" s="43">
        <f>VLOOKUP($B212,KeywordGroupsLookup,3,FALSE)</f>
        <v>18</v>
      </c>
      <c r="D212" s="15" t="s">
        <v>321</v>
      </c>
      <c r="E212" s="16" t="s">
        <v>335</v>
      </c>
      <c r="F212" s="16" t="s">
        <v>554</v>
      </c>
      <c r="G212" s="16" t="s">
        <v>768</v>
      </c>
      <c r="H212" s="46">
        <f>LEN($I212)</f>
        <v>246</v>
      </c>
      <c r="I212" s="16" t="s">
        <v>769</v>
      </c>
    </row>
    <row r="213" spans="1:9" x14ac:dyDescent="0.25">
      <c r="A213" s="15" t="s">
        <v>52</v>
      </c>
      <c r="B213" s="15" t="s">
        <v>501</v>
      </c>
      <c r="C213" s="43">
        <f>VLOOKUP($B213,KeywordGroupsLookup,3,FALSE)</f>
        <v>3</v>
      </c>
      <c r="D213" s="15" t="s">
        <v>321</v>
      </c>
      <c r="E213" s="16" t="s">
        <v>333</v>
      </c>
      <c r="F213" s="16" t="s">
        <v>142</v>
      </c>
      <c r="G213" s="16" t="s">
        <v>594</v>
      </c>
      <c r="H213" s="46">
        <f>LEN($I213)</f>
        <v>73</v>
      </c>
      <c r="I213" s="16" t="s">
        <v>593</v>
      </c>
    </row>
    <row r="214" spans="1:9" x14ac:dyDescent="0.25">
      <c r="A214" s="15" t="s">
        <v>89</v>
      </c>
      <c r="B214" s="15" t="s">
        <v>498</v>
      </c>
      <c r="C214" s="43">
        <f>VLOOKUP($B214,KeywordGroupsLookup,3,FALSE)</f>
        <v>7</v>
      </c>
      <c r="D214" s="15" t="s">
        <v>321</v>
      </c>
      <c r="E214" s="16" t="s">
        <v>333</v>
      </c>
      <c r="F214" s="16" t="s">
        <v>139</v>
      </c>
      <c r="G214" s="16" t="s">
        <v>620</v>
      </c>
      <c r="H214" s="46">
        <f>LEN($I214)</f>
        <v>41</v>
      </c>
      <c r="I214" s="16" t="s">
        <v>642</v>
      </c>
    </row>
    <row r="215" spans="1:9" x14ac:dyDescent="0.25">
      <c r="A215" s="15" t="s">
        <v>113</v>
      </c>
      <c r="B215" s="15" t="s">
        <v>507</v>
      </c>
      <c r="C215" s="43">
        <f>VLOOKUP($B215,KeywordGroupsLookup,3,FALSE)</f>
        <v>10</v>
      </c>
      <c r="D215" s="15" t="s">
        <v>321</v>
      </c>
      <c r="E215" s="16" t="s">
        <v>335</v>
      </c>
      <c r="F215" s="16" t="s">
        <v>577</v>
      </c>
      <c r="G215" s="16" t="s">
        <v>670</v>
      </c>
      <c r="H215" s="46">
        <f>LEN($I215)</f>
        <v>61</v>
      </c>
      <c r="I215" s="16" t="s">
        <v>675</v>
      </c>
    </row>
    <row r="216" spans="1:9" x14ac:dyDescent="0.25">
      <c r="A216" s="15" t="s">
        <v>41</v>
      </c>
      <c r="B216" s="15" t="s">
        <v>500</v>
      </c>
      <c r="C216" s="43">
        <f>VLOOKUP($B216,KeywordGroupsLookup,3,FALSE)</f>
        <v>2</v>
      </c>
      <c r="D216" s="15" t="s">
        <v>145</v>
      </c>
      <c r="E216" s="16" t="s">
        <v>333</v>
      </c>
      <c r="F216" s="16" t="s">
        <v>142</v>
      </c>
      <c r="G216" s="16" t="s">
        <v>554</v>
      </c>
      <c r="H216" s="46">
        <f>LEN($I216)</f>
        <v>87</v>
      </c>
      <c r="I216" s="16" t="s">
        <v>567</v>
      </c>
    </row>
    <row r="217" spans="1:9" x14ac:dyDescent="0.25">
      <c r="A217" s="15" t="s">
        <v>42</v>
      </c>
      <c r="B217" s="15" t="s">
        <v>500</v>
      </c>
      <c r="C217" s="43">
        <f>VLOOKUP($B217,KeywordGroupsLookup,3,FALSE)</f>
        <v>2</v>
      </c>
      <c r="D217" s="15" t="s">
        <v>321</v>
      </c>
      <c r="E217" s="16" t="s">
        <v>333</v>
      </c>
      <c r="F217" s="16" t="s">
        <v>142</v>
      </c>
      <c r="G217" s="16" t="s">
        <v>569</v>
      </c>
      <c r="H217" s="46">
        <f>LEN($I217)</f>
        <v>43</v>
      </c>
      <c r="I217" s="16" t="s">
        <v>568</v>
      </c>
    </row>
    <row r="218" spans="1:9" x14ac:dyDescent="0.25">
      <c r="A218" s="15" t="s">
        <v>43</v>
      </c>
      <c r="B218" s="15" t="s">
        <v>500</v>
      </c>
      <c r="C218" s="43">
        <f>VLOOKUP($B218,KeywordGroupsLookup,3,FALSE)</f>
        <v>2</v>
      </c>
      <c r="D218" s="15" t="s">
        <v>321</v>
      </c>
      <c r="E218" s="16" t="s">
        <v>333</v>
      </c>
      <c r="F218" s="16" t="s">
        <v>579</v>
      </c>
      <c r="G218" s="16" t="s">
        <v>571</v>
      </c>
      <c r="H218" s="46">
        <f>LEN($I218)</f>
        <v>88</v>
      </c>
      <c r="I218" s="16" t="s">
        <v>570</v>
      </c>
    </row>
    <row r="219" spans="1:9" x14ac:dyDescent="0.25">
      <c r="A219" s="15" t="s">
        <v>319</v>
      </c>
      <c r="B219" s="15" t="s">
        <v>545</v>
      </c>
      <c r="C219" s="43">
        <f>VLOOKUP($B219,KeywordGroupsLookup,3,FALSE)</f>
        <v>25</v>
      </c>
      <c r="D219" s="15" t="s">
        <v>145</v>
      </c>
      <c r="E219" s="16" t="s">
        <v>335</v>
      </c>
      <c r="F219" s="16" t="s">
        <v>142</v>
      </c>
      <c r="G219" s="16" t="s">
        <v>554</v>
      </c>
      <c r="H219" s="46">
        <f>LEN($I219)</f>
        <v>387</v>
      </c>
      <c r="I219" s="16" t="s">
        <v>869</v>
      </c>
    </row>
    <row r="220" spans="1:9" x14ac:dyDescent="0.25">
      <c r="A220" s="15" t="s">
        <v>44</v>
      </c>
      <c r="B220" s="15" t="s">
        <v>500</v>
      </c>
      <c r="C220" s="43">
        <f>VLOOKUP($B220,KeywordGroupsLookup,3,FALSE)</f>
        <v>2</v>
      </c>
      <c r="D220" s="15" t="s">
        <v>321</v>
      </c>
      <c r="E220" s="16" t="s">
        <v>333</v>
      </c>
      <c r="F220" s="16" t="s">
        <v>142</v>
      </c>
      <c r="G220" s="16" t="s">
        <v>573</v>
      </c>
      <c r="H220" s="46">
        <f>LEN($I220)</f>
        <v>50</v>
      </c>
      <c r="I220" s="16" t="s">
        <v>572</v>
      </c>
    </row>
    <row r="221" spans="1:9" x14ac:dyDescent="0.25">
      <c r="A221" s="15" t="s">
        <v>104</v>
      </c>
      <c r="B221" s="15" t="s">
        <v>505</v>
      </c>
      <c r="C221" s="43">
        <f>VLOOKUP($B221,KeywordGroupsLookup,3,FALSE)</f>
        <v>8</v>
      </c>
      <c r="D221" s="15" t="s">
        <v>321</v>
      </c>
      <c r="E221" s="16" t="s">
        <v>333</v>
      </c>
      <c r="F221" s="16" t="s">
        <v>142</v>
      </c>
      <c r="G221" s="16" t="s">
        <v>644</v>
      </c>
      <c r="H221" s="46">
        <f>LEN($I221)</f>
        <v>82</v>
      </c>
      <c r="I221" s="16" t="s">
        <v>663</v>
      </c>
    </row>
    <row r="222" spans="1:9" x14ac:dyDescent="0.25">
      <c r="A222" s="15" t="s">
        <v>33</v>
      </c>
      <c r="B222" s="15" t="s">
        <v>499</v>
      </c>
      <c r="C222" s="43">
        <f>VLOOKUP($B222,KeywordGroupsLookup,3,FALSE)</f>
        <v>1</v>
      </c>
      <c r="D222" s="15" t="s">
        <v>145</v>
      </c>
      <c r="E222" s="16" t="s">
        <v>333</v>
      </c>
      <c r="F222" s="16" t="s">
        <v>578</v>
      </c>
      <c r="G222" s="16" t="s">
        <v>554</v>
      </c>
      <c r="H222" s="46">
        <f>LEN($I222)</f>
        <v>128</v>
      </c>
      <c r="I222" s="16" t="s">
        <v>557</v>
      </c>
    </row>
    <row r="223" spans="1:9" x14ac:dyDescent="0.25">
      <c r="A223" s="15" t="s">
        <v>34</v>
      </c>
      <c r="B223" s="15" t="s">
        <v>499</v>
      </c>
      <c r="C223" s="43">
        <f>VLOOKUP($B223,KeywordGroupsLookup,3,FALSE)</f>
        <v>1</v>
      </c>
      <c r="D223" s="15" t="s">
        <v>146</v>
      </c>
      <c r="E223" s="16" t="s">
        <v>334</v>
      </c>
      <c r="F223" s="16" t="s">
        <v>554</v>
      </c>
      <c r="G223" s="16" t="s">
        <v>554</v>
      </c>
      <c r="H223" s="46">
        <f>LEN($I223)</f>
        <v>195</v>
      </c>
      <c r="I223" s="16" t="s">
        <v>558</v>
      </c>
    </row>
    <row r="224" spans="1:9" x14ac:dyDescent="0.25">
      <c r="A224" s="15" t="s">
        <v>105</v>
      </c>
      <c r="B224" s="15" t="s">
        <v>505</v>
      </c>
      <c r="C224" s="43">
        <f>VLOOKUP($B224,KeywordGroupsLookup,3,FALSE)</f>
        <v>8</v>
      </c>
      <c r="D224" s="15" t="s">
        <v>321</v>
      </c>
      <c r="E224" s="16" t="s">
        <v>333</v>
      </c>
      <c r="F224" s="16" t="s">
        <v>142</v>
      </c>
      <c r="G224" s="16" t="s">
        <v>644</v>
      </c>
      <c r="H224" s="46">
        <f>LEN($I224)</f>
        <v>43</v>
      </c>
      <c r="I224" s="16" t="s">
        <v>664</v>
      </c>
    </row>
    <row r="225" spans="1:9" x14ac:dyDescent="0.25">
      <c r="A225" s="15" t="s">
        <v>195</v>
      </c>
      <c r="B225" s="15" t="s">
        <v>549</v>
      </c>
      <c r="C225" s="43">
        <f>VLOOKUP($B225,KeywordGroupsLookup,3,FALSE)</f>
        <v>26</v>
      </c>
      <c r="D225" s="15" t="s">
        <v>145</v>
      </c>
      <c r="E225" s="16" t="s">
        <v>335</v>
      </c>
      <c r="F225" s="16" t="s">
        <v>577</v>
      </c>
      <c r="G225" s="16" t="s">
        <v>554</v>
      </c>
      <c r="H225" s="46">
        <f>LEN($I225)</f>
        <v>156</v>
      </c>
      <c r="I225" s="16" t="s">
        <v>892</v>
      </c>
    </row>
    <row r="226" spans="1:9" x14ac:dyDescent="0.25">
      <c r="A226" s="15" t="s">
        <v>293</v>
      </c>
      <c r="B226" s="15" t="s">
        <v>544</v>
      </c>
      <c r="C226" s="43">
        <f>VLOOKUP($B226,KeywordGroupsLookup,3,FALSE)</f>
        <v>24</v>
      </c>
      <c r="D226" s="15" t="s">
        <v>322</v>
      </c>
      <c r="E226" s="16" t="s">
        <v>335</v>
      </c>
      <c r="F226" s="16" t="s">
        <v>554</v>
      </c>
      <c r="G226" s="16" t="s">
        <v>832</v>
      </c>
      <c r="H226" s="46">
        <f>LEN($I226)</f>
        <v>53</v>
      </c>
      <c r="I226" s="16" t="s">
        <v>833</v>
      </c>
    </row>
    <row r="227" spans="1:9" x14ac:dyDescent="0.25">
      <c r="A227" s="15" t="s">
        <v>294</v>
      </c>
      <c r="B227" s="15" t="s">
        <v>544</v>
      </c>
      <c r="C227" s="43">
        <f>VLOOKUP($B227,KeywordGroupsLookup,3,FALSE)</f>
        <v>24</v>
      </c>
      <c r="D227" s="15" t="s">
        <v>322</v>
      </c>
      <c r="E227" s="16" t="s">
        <v>335</v>
      </c>
      <c r="F227" s="16" t="s">
        <v>554</v>
      </c>
      <c r="G227" s="16" t="s">
        <v>835</v>
      </c>
      <c r="H227" s="46">
        <f>LEN($I227)</f>
        <v>106</v>
      </c>
      <c r="I227" s="16" t="s">
        <v>834</v>
      </c>
    </row>
    <row r="228" spans="1:9" x14ac:dyDescent="0.25">
      <c r="A228" s="15" t="s">
        <v>295</v>
      </c>
      <c r="B228" s="15" t="s">
        <v>544</v>
      </c>
      <c r="C228" s="43">
        <f>VLOOKUP($B228,KeywordGroupsLookup,3,FALSE)</f>
        <v>24</v>
      </c>
      <c r="D228" s="15" t="s">
        <v>321</v>
      </c>
      <c r="E228" s="16" t="s">
        <v>335</v>
      </c>
      <c r="F228" s="16" t="s">
        <v>554</v>
      </c>
      <c r="G228" s="16" t="s">
        <v>837</v>
      </c>
      <c r="H228" s="46">
        <f>LEN($I228)</f>
        <v>91</v>
      </c>
      <c r="I228" s="16" t="s">
        <v>836</v>
      </c>
    </row>
    <row r="229" spans="1:9" x14ac:dyDescent="0.25">
      <c r="A229" s="15" t="s">
        <v>296</v>
      </c>
      <c r="B229" s="15" t="s">
        <v>544</v>
      </c>
      <c r="C229" s="43">
        <f>VLOOKUP($B229,KeywordGroupsLookup,3,FALSE)</f>
        <v>24</v>
      </c>
      <c r="D229" s="15" t="s">
        <v>322</v>
      </c>
      <c r="E229" s="16" t="s">
        <v>335</v>
      </c>
      <c r="F229" s="16" t="s">
        <v>554</v>
      </c>
      <c r="G229" s="16" t="s">
        <v>837</v>
      </c>
      <c r="H229" s="46">
        <f>LEN($I229)</f>
        <v>56</v>
      </c>
      <c r="I229" s="16" t="s">
        <v>838</v>
      </c>
    </row>
    <row r="230" spans="1:9" x14ac:dyDescent="0.25">
      <c r="A230" s="15" t="s">
        <v>297</v>
      </c>
      <c r="B230" s="15" t="s">
        <v>544</v>
      </c>
      <c r="C230" s="43">
        <f>VLOOKUP($B230,KeywordGroupsLookup,3,FALSE)</f>
        <v>24</v>
      </c>
      <c r="D230" s="15" t="s">
        <v>322</v>
      </c>
      <c r="E230" s="16" t="s">
        <v>335</v>
      </c>
      <c r="F230" s="16" t="s">
        <v>554</v>
      </c>
      <c r="G230" s="16" t="s">
        <v>837</v>
      </c>
      <c r="H230" s="46">
        <f>LEN($I230)</f>
        <v>51</v>
      </c>
      <c r="I230" s="16" t="s">
        <v>839</v>
      </c>
    </row>
    <row r="231" spans="1:9" x14ac:dyDescent="0.25">
      <c r="A231" s="15" t="s">
        <v>298</v>
      </c>
      <c r="B231" s="15" t="s">
        <v>544</v>
      </c>
      <c r="C231" s="43">
        <f>VLOOKUP($B231,KeywordGroupsLookup,3,FALSE)</f>
        <v>24</v>
      </c>
      <c r="D231" s="15" t="s">
        <v>321</v>
      </c>
      <c r="E231" s="16" t="s">
        <v>335</v>
      </c>
      <c r="F231" s="16" t="s">
        <v>577</v>
      </c>
      <c r="G231" s="16" t="s">
        <v>837</v>
      </c>
      <c r="H231" s="46">
        <f>LEN($I231)</f>
        <v>61</v>
      </c>
      <c r="I231" s="16" t="s">
        <v>840</v>
      </c>
    </row>
    <row r="232" spans="1:9" x14ac:dyDescent="0.25">
      <c r="A232" s="15" t="s">
        <v>299</v>
      </c>
      <c r="B232" s="15" t="s">
        <v>544</v>
      </c>
      <c r="C232" s="43">
        <f>VLOOKUP($B232,KeywordGroupsLookup,3,FALSE)</f>
        <v>24</v>
      </c>
      <c r="D232" s="15" t="s">
        <v>322</v>
      </c>
      <c r="E232" s="16" t="s">
        <v>335</v>
      </c>
      <c r="F232" s="16" t="s">
        <v>554</v>
      </c>
      <c r="G232" s="16" t="s">
        <v>835</v>
      </c>
      <c r="H232" s="46">
        <f>LEN($I232)</f>
        <v>165</v>
      </c>
      <c r="I232" s="16" t="s">
        <v>841</v>
      </c>
    </row>
    <row r="233" spans="1:9" x14ac:dyDescent="0.25">
      <c r="A233" s="15" t="s">
        <v>300</v>
      </c>
      <c r="B233" s="15" t="s">
        <v>544</v>
      </c>
      <c r="C233" s="43">
        <f>VLOOKUP($B233,KeywordGroupsLookup,3,FALSE)</f>
        <v>24</v>
      </c>
      <c r="D233" s="15" t="s">
        <v>322</v>
      </c>
      <c r="E233" s="16" t="s">
        <v>335</v>
      </c>
      <c r="F233" s="16" t="s">
        <v>554</v>
      </c>
      <c r="G233" s="16" t="s">
        <v>835</v>
      </c>
      <c r="H233" s="46">
        <f>LEN($I233)</f>
        <v>168</v>
      </c>
      <c r="I233" s="16" t="s">
        <v>842</v>
      </c>
    </row>
    <row r="234" spans="1:9" x14ac:dyDescent="0.25">
      <c r="A234" s="15" t="s">
        <v>301</v>
      </c>
      <c r="B234" s="15" t="s">
        <v>544</v>
      </c>
      <c r="C234" s="43">
        <f>VLOOKUP($B234,KeywordGroupsLookup,3,FALSE)</f>
        <v>24</v>
      </c>
      <c r="D234" s="15" t="s">
        <v>322</v>
      </c>
      <c r="E234" s="16" t="s">
        <v>335</v>
      </c>
      <c r="F234" s="16" t="s">
        <v>554</v>
      </c>
      <c r="G234" s="16" t="s">
        <v>835</v>
      </c>
      <c r="H234" s="46">
        <f>LEN($I234)</f>
        <v>157</v>
      </c>
      <c r="I234" s="16" t="s">
        <v>843</v>
      </c>
    </row>
    <row r="235" spans="1:9" x14ac:dyDescent="0.25">
      <c r="A235" s="15" t="s">
        <v>302</v>
      </c>
      <c r="B235" s="15" t="s">
        <v>544</v>
      </c>
      <c r="C235" s="43">
        <f>VLOOKUP($B235,KeywordGroupsLookup,3,FALSE)</f>
        <v>24</v>
      </c>
      <c r="D235" s="15" t="s">
        <v>322</v>
      </c>
      <c r="E235" s="16" t="s">
        <v>335</v>
      </c>
      <c r="F235" s="16" t="s">
        <v>554</v>
      </c>
      <c r="G235" s="16" t="s">
        <v>832</v>
      </c>
      <c r="H235" s="46">
        <f>LEN($I235)</f>
        <v>50</v>
      </c>
      <c r="I235" s="16" t="s">
        <v>844</v>
      </c>
    </row>
    <row r="236" spans="1:9" x14ac:dyDescent="0.25">
      <c r="A236" s="15" t="s">
        <v>303</v>
      </c>
      <c r="B236" s="15" t="s">
        <v>544</v>
      </c>
      <c r="C236" s="43">
        <f>VLOOKUP($B236,KeywordGroupsLookup,3,FALSE)</f>
        <v>24</v>
      </c>
      <c r="D236" s="15" t="s">
        <v>322</v>
      </c>
      <c r="E236" s="16" t="s">
        <v>335</v>
      </c>
      <c r="F236" s="16" t="s">
        <v>554</v>
      </c>
      <c r="G236" s="16" t="s">
        <v>835</v>
      </c>
      <c r="H236" s="46">
        <f>LEN($I236)</f>
        <v>103</v>
      </c>
      <c r="I236" s="16" t="s">
        <v>845</v>
      </c>
    </row>
    <row r="237" spans="1:9" x14ac:dyDescent="0.25">
      <c r="A237" s="15" t="s">
        <v>304</v>
      </c>
      <c r="B237" s="15" t="s">
        <v>544</v>
      </c>
      <c r="C237" s="43">
        <f>VLOOKUP($B237,KeywordGroupsLookup,3,FALSE)</f>
        <v>24</v>
      </c>
      <c r="D237" s="15" t="s">
        <v>322</v>
      </c>
      <c r="E237" s="16" t="s">
        <v>335</v>
      </c>
      <c r="F237" s="16" t="s">
        <v>554</v>
      </c>
      <c r="G237" s="16" t="s">
        <v>846</v>
      </c>
      <c r="H237" s="46">
        <f>LEN($I237)</f>
        <v>52</v>
      </c>
      <c r="I237" s="16" t="s">
        <v>847</v>
      </c>
    </row>
    <row r="238" spans="1:9" x14ac:dyDescent="0.25">
      <c r="A238" s="15" t="s">
        <v>305</v>
      </c>
      <c r="B238" s="15" t="s">
        <v>544</v>
      </c>
      <c r="C238" s="43">
        <f>VLOOKUP($B238,KeywordGroupsLookup,3,FALSE)</f>
        <v>24</v>
      </c>
      <c r="D238" s="15" t="s">
        <v>322</v>
      </c>
      <c r="E238" s="16" t="s">
        <v>335</v>
      </c>
      <c r="F238" s="16" t="s">
        <v>554</v>
      </c>
      <c r="G238" s="16" t="s">
        <v>835</v>
      </c>
      <c r="H238" s="46">
        <f>LEN($I238)</f>
        <v>119</v>
      </c>
      <c r="I238" s="16" t="s">
        <v>848</v>
      </c>
    </row>
    <row r="239" spans="1:9" x14ac:dyDescent="0.25">
      <c r="A239" s="15" t="s">
        <v>306</v>
      </c>
      <c r="B239" s="15" t="s">
        <v>544</v>
      </c>
      <c r="C239" s="43">
        <f>VLOOKUP($B239,KeywordGroupsLookup,3,FALSE)</f>
        <v>24</v>
      </c>
      <c r="D239" s="15" t="s">
        <v>322</v>
      </c>
      <c r="E239" s="16" t="s">
        <v>335</v>
      </c>
      <c r="F239" s="16" t="s">
        <v>554</v>
      </c>
      <c r="G239" s="16" t="s">
        <v>850</v>
      </c>
      <c r="H239" s="46">
        <f>LEN($I239)</f>
        <v>52</v>
      </c>
      <c r="I239" s="16" t="s">
        <v>849</v>
      </c>
    </row>
    <row r="240" spans="1:9" x14ac:dyDescent="0.25">
      <c r="A240" s="15" t="s">
        <v>307</v>
      </c>
      <c r="B240" s="15" t="s">
        <v>544</v>
      </c>
      <c r="C240" s="43">
        <f>VLOOKUP($B240,KeywordGroupsLookup,3,FALSE)</f>
        <v>24</v>
      </c>
      <c r="D240" s="15" t="s">
        <v>322</v>
      </c>
      <c r="E240" s="16" t="s">
        <v>335</v>
      </c>
      <c r="F240" s="16" t="s">
        <v>554</v>
      </c>
      <c r="G240" s="16" t="s">
        <v>852</v>
      </c>
      <c r="H240" s="46">
        <f>LEN($I240)</f>
        <v>134</v>
      </c>
      <c r="I240" s="16" t="s">
        <v>851</v>
      </c>
    </row>
    <row r="241" spans="1:9" x14ac:dyDescent="0.25">
      <c r="A241" s="15" t="s">
        <v>308</v>
      </c>
      <c r="B241" s="15" t="s">
        <v>544</v>
      </c>
      <c r="C241" s="43">
        <f>VLOOKUP($B241,KeywordGroupsLookup,3,FALSE)</f>
        <v>24</v>
      </c>
      <c r="D241" s="15" t="s">
        <v>322</v>
      </c>
      <c r="E241" s="16" t="s">
        <v>335</v>
      </c>
      <c r="F241" s="16" t="s">
        <v>554</v>
      </c>
      <c r="G241" s="16" t="s">
        <v>837</v>
      </c>
      <c r="H241" s="46">
        <f>LEN($I241)</f>
        <v>53</v>
      </c>
      <c r="I241" s="16" t="s">
        <v>853</v>
      </c>
    </row>
    <row r="242" spans="1:9" x14ac:dyDescent="0.25">
      <c r="A242" s="15" t="s">
        <v>320</v>
      </c>
      <c r="B242" s="15" t="s">
        <v>545</v>
      </c>
      <c r="C242" s="43">
        <f>VLOOKUP($B242,KeywordGroupsLookup,3,FALSE)</f>
        <v>25</v>
      </c>
      <c r="D242" s="15" t="s">
        <v>321</v>
      </c>
      <c r="E242" s="16" t="s">
        <v>335</v>
      </c>
      <c r="F242" s="16" t="s">
        <v>142</v>
      </c>
      <c r="G242" s="16" t="s">
        <v>871</v>
      </c>
      <c r="H242" s="46">
        <f>LEN($I242)</f>
        <v>92</v>
      </c>
      <c r="I242" s="16" t="s">
        <v>870</v>
      </c>
    </row>
    <row r="243" spans="1:9" x14ac:dyDescent="0.25">
      <c r="A243" s="15" t="s">
        <v>45</v>
      </c>
      <c r="B243" s="15" t="s">
        <v>500</v>
      </c>
      <c r="C243" s="43">
        <f>VLOOKUP($B243,KeywordGroupsLookup,3,FALSE)</f>
        <v>2</v>
      </c>
      <c r="D243" s="15" t="s">
        <v>321</v>
      </c>
      <c r="E243" s="16" t="s">
        <v>333</v>
      </c>
      <c r="F243" s="16" t="s">
        <v>579</v>
      </c>
      <c r="G243" s="16" t="s">
        <v>564</v>
      </c>
      <c r="H243" s="46">
        <f>LEN($I243)</f>
        <v>65</v>
      </c>
      <c r="I243" s="16" t="s">
        <v>574</v>
      </c>
    </row>
    <row r="244" spans="1:9" x14ac:dyDescent="0.25">
      <c r="A244" s="16"/>
      <c r="B244" s="16"/>
      <c r="C244" s="16"/>
    </row>
  </sheetData>
  <autoFilter ref="A1:E243"/>
  <sortState ref="A2:I244">
    <sortCondition ref="A1"/>
  </sortState>
  <dataValidations count="3">
    <dataValidation type="list" allowBlank="1" showInputMessage="1" showErrorMessage="1" sqref="D2:D243">
      <formula1>KeywordTypes</formula1>
    </dataValidation>
    <dataValidation type="list" showInputMessage="1" showErrorMessage="1" sqref="B2:B243">
      <formula1>KeywordGroups</formula1>
    </dataValidation>
    <dataValidation type="list" showInputMessage="1" showErrorMessage="1" sqref="E2:E243">
      <formula1>KeywordUsage</formula1>
    </dataValidation>
  </dataValidation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6:A248"/>
  <sheetViews>
    <sheetView zoomScale="85" zoomScaleNormal="85" workbookViewId="0">
      <selection activeCell="A12" sqref="A12"/>
    </sheetView>
  </sheetViews>
  <sheetFormatPr defaultColWidth="100.7109375" defaultRowHeight="15" x14ac:dyDescent="0.25"/>
  <cols>
    <col min="1" max="2" width="100.7109375" customWidth="1"/>
  </cols>
  <sheetData>
    <row r="6" spans="1:1" ht="75" x14ac:dyDescent="0.25">
      <c r="A6" s="50" t="s">
        <v>956</v>
      </c>
    </row>
    <row r="7" spans="1:1" ht="75" x14ac:dyDescent="0.25">
      <c r="A7" s="50" t="s">
        <v>957</v>
      </c>
    </row>
    <row r="8" spans="1:1" ht="75" x14ac:dyDescent="0.25">
      <c r="A8" s="50" t="s">
        <v>1063</v>
      </c>
    </row>
    <row r="9" spans="1:1" ht="90" x14ac:dyDescent="0.25">
      <c r="A9" s="50" t="s">
        <v>1005</v>
      </c>
    </row>
    <row r="10" spans="1:1" ht="75" x14ac:dyDescent="0.25">
      <c r="A10" s="50" t="s">
        <v>1064</v>
      </c>
    </row>
    <row r="11" spans="1:1" ht="135" x14ac:dyDescent="0.25">
      <c r="A11" s="50" t="s">
        <v>1110</v>
      </c>
    </row>
    <row r="12" spans="1:1" ht="75" x14ac:dyDescent="0.25">
      <c r="A12" s="50" t="s">
        <v>990</v>
      </c>
    </row>
    <row r="13" spans="1:1" ht="120" x14ac:dyDescent="0.25">
      <c r="A13" s="50" t="s">
        <v>991</v>
      </c>
    </row>
    <row r="14" spans="1:1" ht="75" x14ac:dyDescent="0.25">
      <c r="A14" s="50" t="s">
        <v>958</v>
      </c>
    </row>
    <row r="15" spans="1:1" ht="90" x14ac:dyDescent="0.25">
      <c r="A15" s="50" t="s">
        <v>1065</v>
      </c>
    </row>
    <row r="16" spans="1:1" ht="90" x14ac:dyDescent="0.25">
      <c r="A16" s="50" t="s">
        <v>1066</v>
      </c>
    </row>
    <row r="17" spans="1:1" ht="75" x14ac:dyDescent="0.25">
      <c r="A17" s="50" t="s">
        <v>959</v>
      </c>
    </row>
    <row r="18" spans="1:1" ht="90" x14ac:dyDescent="0.25">
      <c r="A18" s="50" t="s">
        <v>995</v>
      </c>
    </row>
    <row r="19" spans="1:1" ht="120" x14ac:dyDescent="0.25">
      <c r="A19" s="50" t="s">
        <v>996</v>
      </c>
    </row>
    <row r="20" spans="1:1" ht="105" x14ac:dyDescent="0.25">
      <c r="A20" s="50" t="s">
        <v>935</v>
      </c>
    </row>
    <row r="21" spans="1:1" ht="120" x14ac:dyDescent="0.25">
      <c r="A21" s="50" t="s">
        <v>997</v>
      </c>
    </row>
    <row r="22" spans="1:1" ht="120" x14ac:dyDescent="0.25">
      <c r="A22" s="50" t="s">
        <v>998</v>
      </c>
    </row>
    <row r="23" spans="1:1" ht="105" x14ac:dyDescent="0.25">
      <c r="A23" s="50" t="s">
        <v>936</v>
      </c>
    </row>
    <row r="24" spans="1:1" ht="75" x14ac:dyDescent="0.25">
      <c r="A24" s="50" t="s">
        <v>1073</v>
      </c>
    </row>
    <row r="25" spans="1:1" ht="75" x14ac:dyDescent="0.25">
      <c r="A25" s="50" t="s">
        <v>1074</v>
      </c>
    </row>
    <row r="26" spans="1:1" x14ac:dyDescent="0.25">
      <c r="A26" s="47" t="s">
        <v>1075</v>
      </c>
    </row>
    <row r="27" spans="1:1" ht="75" x14ac:dyDescent="0.25">
      <c r="A27" s="50" t="s">
        <v>976</v>
      </c>
    </row>
    <row r="28" spans="1:1" ht="120" x14ac:dyDescent="0.25">
      <c r="A28" s="50" t="s">
        <v>1006</v>
      </c>
    </row>
    <row r="29" spans="1:1" ht="120" x14ac:dyDescent="0.25">
      <c r="A29" s="50" t="s">
        <v>1007</v>
      </c>
    </row>
    <row r="30" spans="1:1" ht="120" x14ac:dyDescent="0.25">
      <c r="A30" s="50" t="s">
        <v>1008</v>
      </c>
    </row>
    <row r="31" spans="1:1" ht="135" x14ac:dyDescent="0.25">
      <c r="A31" s="50" t="s">
        <v>1009</v>
      </c>
    </row>
    <row r="32" spans="1:1" ht="135" x14ac:dyDescent="0.25">
      <c r="A32" s="50" t="s">
        <v>1010</v>
      </c>
    </row>
    <row r="33" spans="1:1" ht="135" x14ac:dyDescent="0.25">
      <c r="A33" s="50" t="s">
        <v>1011</v>
      </c>
    </row>
    <row r="34" spans="1:1" ht="75" x14ac:dyDescent="0.25">
      <c r="A34" s="50" t="s">
        <v>977</v>
      </c>
    </row>
    <row r="35" spans="1:1" x14ac:dyDescent="0.25">
      <c r="A35" s="47" t="s">
        <v>999</v>
      </c>
    </row>
    <row r="36" spans="1:1" ht="90" x14ac:dyDescent="0.25">
      <c r="A36" s="50" t="s">
        <v>978</v>
      </c>
    </row>
    <row r="37" spans="1:1" ht="135" x14ac:dyDescent="0.25">
      <c r="A37" s="50" t="s">
        <v>1001</v>
      </c>
    </row>
    <row r="38" spans="1:1" ht="135" x14ac:dyDescent="0.25">
      <c r="A38" s="50" t="s">
        <v>1002</v>
      </c>
    </row>
    <row r="39" spans="1:1" ht="135" x14ac:dyDescent="0.25">
      <c r="A39" s="50" t="s">
        <v>1003</v>
      </c>
    </row>
    <row r="40" spans="1:1" ht="135" x14ac:dyDescent="0.25">
      <c r="A40" s="50" t="s">
        <v>1004</v>
      </c>
    </row>
    <row r="41" spans="1:1" ht="75" x14ac:dyDescent="0.25">
      <c r="A41" s="50" t="s">
        <v>960</v>
      </c>
    </row>
    <row r="42" spans="1:1" ht="75" x14ac:dyDescent="0.25">
      <c r="A42" s="50" t="s">
        <v>1012</v>
      </c>
    </row>
    <row r="43" spans="1:1" ht="120" x14ac:dyDescent="0.25">
      <c r="A43" s="50" t="s">
        <v>1013</v>
      </c>
    </row>
    <row r="44" spans="1:1" ht="135" x14ac:dyDescent="0.25">
      <c r="A44" s="50" t="s">
        <v>1021</v>
      </c>
    </row>
    <row r="45" spans="1:1" ht="120" x14ac:dyDescent="0.25">
      <c r="A45" s="50" t="s">
        <v>1022</v>
      </c>
    </row>
    <row r="46" spans="1:1" ht="135" x14ac:dyDescent="0.25">
      <c r="A46" s="50" t="s">
        <v>1023</v>
      </c>
    </row>
    <row r="47" spans="1:1" ht="120" x14ac:dyDescent="0.25">
      <c r="A47" s="50" t="s">
        <v>1024</v>
      </c>
    </row>
    <row r="48" spans="1:1" ht="120" x14ac:dyDescent="0.25">
      <c r="A48" s="50" t="s">
        <v>1025</v>
      </c>
    </row>
    <row r="49" spans="1:1" ht="75" x14ac:dyDescent="0.25">
      <c r="A49" s="50" t="s">
        <v>1014</v>
      </c>
    </row>
    <row r="50" spans="1:1" ht="75" x14ac:dyDescent="0.25">
      <c r="A50" s="50" t="s">
        <v>1015</v>
      </c>
    </row>
    <row r="51" spans="1:1" ht="75" x14ac:dyDescent="0.25">
      <c r="A51" s="50" t="s">
        <v>1016</v>
      </c>
    </row>
    <row r="52" spans="1:1" ht="75" x14ac:dyDescent="0.25">
      <c r="A52" s="50" t="s">
        <v>1054</v>
      </c>
    </row>
    <row r="53" spans="1:1" ht="75" x14ac:dyDescent="0.25">
      <c r="A53" s="50" t="s">
        <v>1017</v>
      </c>
    </row>
    <row r="54" spans="1:1" ht="195" x14ac:dyDescent="0.25">
      <c r="A54" s="50" t="s">
        <v>1018</v>
      </c>
    </row>
    <row r="55" spans="1:1" ht="90" x14ac:dyDescent="0.25">
      <c r="A55" s="50" t="s">
        <v>1019</v>
      </c>
    </row>
    <row r="56" spans="1:1" ht="75" x14ac:dyDescent="0.25">
      <c r="A56" s="50" t="s">
        <v>1020</v>
      </c>
    </row>
    <row r="57" spans="1:1" ht="75" x14ac:dyDescent="0.25">
      <c r="A57" s="50" t="s">
        <v>1122</v>
      </c>
    </row>
    <row r="58" spans="1:1" ht="75" x14ac:dyDescent="0.25">
      <c r="A58" s="50" t="s">
        <v>1123</v>
      </c>
    </row>
    <row r="59" spans="1:1" ht="75" x14ac:dyDescent="0.25">
      <c r="A59" s="50" t="s">
        <v>1124</v>
      </c>
    </row>
    <row r="60" spans="1:1" ht="75" x14ac:dyDescent="0.25">
      <c r="A60" s="50" t="s">
        <v>1125</v>
      </c>
    </row>
    <row r="61" spans="1:1" ht="75" x14ac:dyDescent="0.25">
      <c r="A61" s="50" t="s">
        <v>1126</v>
      </c>
    </row>
    <row r="62" spans="1:1" ht="75" x14ac:dyDescent="0.25">
      <c r="A62" s="50" t="s">
        <v>1127</v>
      </c>
    </row>
    <row r="63" spans="1:1" ht="75" x14ac:dyDescent="0.25">
      <c r="A63" s="50" t="s">
        <v>1128</v>
      </c>
    </row>
    <row r="64" spans="1:1" ht="75" x14ac:dyDescent="0.25">
      <c r="A64" s="50" t="s">
        <v>1129</v>
      </c>
    </row>
    <row r="65" spans="1:1" ht="75" x14ac:dyDescent="0.25">
      <c r="A65" s="50" t="s">
        <v>1130</v>
      </c>
    </row>
    <row r="66" spans="1:1" ht="75" x14ac:dyDescent="0.25">
      <c r="A66" s="50" t="s">
        <v>1131</v>
      </c>
    </row>
    <row r="67" spans="1:1" ht="75" x14ac:dyDescent="0.25">
      <c r="A67" s="50" t="s">
        <v>1132</v>
      </c>
    </row>
    <row r="68" spans="1:1" ht="75" x14ac:dyDescent="0.25">
      <c r="A68" s="50" t="s">
        <v>1133</v>
      </c>
    </row>
    <row r="69" spans="1:1" ht="75" x14ac:dyDescent="0.25">
      <c r="A69" s="50" t="s">
        <v>1134</v>
      </c>
    </row>
    <row r="70" spans="1:1" ht="75" x14ac:dyDescent="0.25">
      <c r="A70" s="50" t="s">
        <v>1135</v>
      </c>
    </row>
    <row r="71" spans="1:1" ht="75" x14ac:dyDescent="0.25">
      <c r="A71" s="50" t="s">
        <v>1136</v>
      </c>
    </row>
    <row r="72" spans="1:1" ht="75" x14ac:dyDescent="0.25">
      <c r="A72" s="50" t="s">
        <v>1137</v>
      </c>
    </row>
    <row r="73" spans="1:1" ht="75" x14ac:dyDescent="0.25">
      <c r="A73" s="50" t="s">
        <v>1138</v>
      </c>
    </row>
    <row r="74" spans="1:1" ht="75" x14ac:dyDescent="0.25">
      <c r="A74" s="50" t="s">
        <v>1139</v>
      </c>
    </row>
    <row r="75" spans="1:1" ht="75" x14ac:dyDescent="0.25">
      <c r="A75" s="50" t="s">
        <v>1140</v>
      </c>
    </row>
    <row r="76" spans="1:1" ht="75" x14ac:dyDescent="0.25">
      <c r="A76" s="50" t="s">
        <v>1111</v>
      </c>
    </row>
    <row r="77" spans="1:1" ht="75" x14ac:dyDescent="0.25">
      <c r="A77" s="50" t="s">
        <v>1112</v>
      </c>
    </row>
    <row r="78" spans="1:1" ht="75" x14ac:dyDescent="0.25">
      <c r="A78" s="50" t="s">
        <v>1141</v>
      </c>
    </row>
    <row r="79" spans="1:1" ht="75" x14ac:dyDescent="0.25">
      <c r="A79" s="50" t="s">
        <v>1142</v>
      </c>
    </row>
    <row r="80" spans="1:1" ht="90" x14ac:dyDescent="0.25">
      <c r="A80" s="50" t="s">
        <v>924</v>
      </c>
    </row>
    <row r="81" spans="1:1" ht="105" x14ac:dyDescent="0.25">
      <c r="A81" s="50" t="s">
        <v>925</v>
      </c>
    </row>
    <row r="82" spans="1:1" ht="75" x14ac:dyDescent="0.25">
      <c r="A82" s="50" t="s">
        <v>926</v>
      </c>
    </row>
    <row r="83" spans="1:1" ht="75" x14ac:dyDescent="0.25">
      <c r="A83" s="50" t="s">
        <v>927</v>
      </c>
    </row>
    <row r="84" spans="1:1" ht="105" x14ac:dyDescent="0.25">
      <c r="A84" s="50" t="s">
        <v>979</v>
      </c>
    </row>
    <row r="85" spans="1:1" x14ac:dyDescent="0.25">
      <c r="A85" s="47" t="s">
        <v>1055</v>
      </c>
    </row>
    <row r="86" spans="1:1" ht="75" x14ac:dyDescent="0.25">
      <c r="A86" s="50" t="s">
        <v>1067</v>
      </c>
    </row>
    <row r="87" spans="1:1" ht="75" x14ac:dyDescent="0.25">
      <c r="A87" s="50" t="s">
        <v>1068</v>
      </c>
    </row>
    <row r="88" spans="1:1" ht="75" x14ac:dyDescent="0.25">
      <c r="A88" s="50" t="s">
        <v>1026</v>
      </c>
    </row>
    <row r="89" spans="1:1" ht="75" x14ac:dyDescent="0.25">
      <c r="A89" s="50" t="s">
        <v>1027</v>
      </c>
    </row>
    <row r="90" spans="1:1" ht="75" x14ac:dyDescent="0.25">
      <c r="A90" s="50" t="s">
        <v>1028</v>
      </c>
    </row>
    <row r="91" spans="1:1" ht="120" x14ac:dyDescent="0.25">
      <c r="A91" s="50" t="s">
        <v>1029</v>
      </c>
    </row>
    <row r="92" spans="1:1" ht="105" x14ac:dyDescent="0.25">
      <c r="A92" s="50" t="s">
        <v>1030</v>
      </c>
    </row>
    <row r="93" spans="1:1" ht="90" x14ac:dyDescent="0.25">
      <c r="A93" s="50" t="s">
        <v>1031</v>
      </c>
    </row>
    <row r="94" spans="1:1" ht="120" x14ac:dyDescent="0.25">
      <c r="A94" s="50" t="s">
        <v>1032</v>
      </c>
    </row>
    <row r="95" spans="1:1" ht="90" x14ac:dyDescent="0.25">
      <c r="A95" s="50" t="s">
        <v>1033</v>
      </c>
    </row>
    <row r="96" spans="1:1" ht="75" x14ac:dyDescent="0.25">
      <c r="A96" s="50" t="s">
        <v>1034</v>
      </c>
    </row>
    <row r="97" spans="1:1" ht="135" x14ac:dyDescent="0.25">
      <c r="A97" s="50" t="s">
        <v>1035</v>
      </c>
    </row>
    <row r="98" spans="1:1" ht="90" x14ac:dyDescent="0.25">
      <c r="A98" s="50" t="s">
        <v>942</v>
      </c>
    </row>
    <row r="99" spans="1:1" ht="90" x14ac:dyDescent="0.25">
      <c r="A99" s="50" t="s">
        <v>937</v>
      </c>
    </row>
    <row r="100" spans="1:1" ht="75" x14ac:dyDescent="0.25">
      <c r="A100" s="50" t="s">
        <v>938</v>
      </c>
    </row>
    <row r="101" spans="1:1" x14ac:dyDescent="0.25">
      <c r="A101" s="47" t="s">
        <v>1076</v>
      </c>
    </row>
    <row r="102" spans="1:1" ht="90" x14ac:dyDescent="0.25">
      <c r="A102" s="50" t="s">
        <v>939</v>
      </c>
    </row>
    <row r="103" spans="1:1" ht="75" x14ac:dyDescent="0.25">
      <c r="A103" s="50" t="s">
        <v>940</v>
      </c>
    </row>
    <row r="104" spans="1:1" ht="90" x14ac:dyDescent="0.25">
      <c r="A104" s="50" t="s">
        <v>943</v>
      </c>
    </row>
    <row r="105" spans="1:1" ht="105" x14ac:dyDescent="0.25">
      <c r="A105" s="50" t="s">
        <v>944</v>
      </c>
    </row>
    <row r="106" spans="1:1" ht="90" x14ac:dyDescent="0.25">
      <c r="A106" s="50" t="s">
        <v>945</v>
      </c>
    </row>
    <row r="107" spans="1:1" ht="105" x14ac:dyDescent="0.25">
      <c r="A107" s="50" t="s">
        <v>1069</v>
      </c>
    </row>
    <row r="108" spans="1:1" ht="120" x14ac:dyDescent="0.25">
      <c r="A108" s="50" t="s">
        <v>1070</v>
      </c>
    </row>
    <row r="109" spans="1:1" ht="105" x14ac:dyDescent="0.25">
      <c r="A109" s="50" t="s">
        <v>946</v>
      </c>
    </row>
    <row r="110" spans="1:1" ht="105" x14ac:dyDescent="0.25">
      <c r="A110" s="50" t="s">
        <v>947</v>
      </c>
    </row>
    <row r="111" spans="1:1" ht="105" x14ac:dyDescent="0.25">
      <c r="A111" s="50" t="s">
        <v>948</v>
      </c>
    </row>
    <row r="112" spans="1:1" ht="90" x14ac:dyDescent="0.25">
      <c r="A112" s="50" t="s">
        <v>949</v>
      </c>
    </row>
    <row r="113" spans="1:1" ht="105" x14ac:dyDescent="0.25">
      <c r="A113" s="50" t="s">
        <v>950</v>
      </c>
    </row>
    <row r="114" spans="1:1" ht="90" x14ac:dyDescent="0.25">
      <c r="A114" s="50" t="s">
        <v>951</v>
      </c>
    </row>
    <row r="115" spans="1:1" x14ac:dyDescent="0.25">
      <c r="A115" s="47" t="s">
        <v>1041</v>
      </c>
    </row>
    <row r="116" spans="1:1" ht="75" x14ac:dyDescent="0.25">
      <c r="A116" s="50" t="s">
        <v>1042</v>
      </c>
    </row>
    <row r="117" spans="1:1" ht="105" x14ac:dyDescent="0.25">
      <c r="A117" s="50" t="s">
        <v>952</v>
      </c>
    </row>
    <row r="118" spans="1:1" x14ac:dyDescent="0.25">
      <c r="A118" s="47" t="s">
        <v>1077</v>
      </c>
    </row>
    <row r="119" spans="1:1" ht="90" x14ac:dyDescent="0.25">
      <c r="A119" s="50" t="s">
        <v>1043</v>
      </c>
    </row>
    <row r="120" spans="1:1" ht="135" x14ac:dyDescent="0.25">
      <c r="A120" s="50" t="s">
        <v>1044</v>
      </c>
    </row>
    <row r="121" spans="1:1" ht="75" x14ac:dyDescent="0.25">
      <c r="A121" s="50" t="s">
        <v>961</v>
      </c>
    </row>
    <row r="122" spans="1:1" ht="75" x14ac:dyDescent="0.25">
      <c r="A122" s="50" t="s">
        <v>1113</v>
      </c>
    </row>
    <row r="123" spans="1:1" ht="75" x14ac:dyDescent="0.25">
      <c r="A123" s="50" t="s">
        <v>1114</v>
      </c>
    </row>
    <row r="124" spans="1:1" ht="90" x14ac:dyDescent="0.25">
      <c r="A124" s="50" t="s">
        <v>980</v>
      </c>
    </row>
    <row r="125" spans="1:1" x14ac:dyDescent="0.25">
      <c r="A125" s="47" t="s">
        <v>1056</v>
      </c>
    </row>
    <row r="126" spans="1:1" ht="105" x14ac:dyDescent="0.25">
      <c r="A126" s="50" t="s">
        <v>953</v>
      </c>
    </row>
    <row r="127" spans="1:1" ht="60" x14ac:dyDescent="0.25">
      <c r="A127" s="50" t="s">
        <v>1045</v>
      </c>
    </row>
    <row r="128" spans="1:1" ht="60" x14ac:dyDescent="0.25">
      <c r="A128" s="50" t="s">
        <v>1046</v>
      </c>
    </row>
    <row r="129" spans="1:1" ht="60" x14ac:dyDescent="0.25">
      <c r="A129" s="50" t="s">
        <v>1047</v>
      </c>
    </row>
    <row r="130" spans="1:1" ht="60" x14ac:dyDescent="0.25">
      <c r="A130" s="50" t="s">
        <v>1058</v>
      </c>
    </row>
    <row r="131" spans="1:1" ht="105" x14ac:dyDescent="0.25">
      <c r="A131" s="50" t="s">
        <v>981</v>
      </c>
    </row>
    <row r="132" spans="1:1" ht="75" x14ac:dyDescent="0.25">
      <c r="A132" s="50" t="s">
        <v>962</v>
      </c>
    </row>
    <row r="133" spans="1:1" ht="75" x14ac:dyDescent="0.25">
      <c r="A133" s="50" t="s">
        <v>963</v>
      </c>
    </row>
    <row r="134" spans="1:1" ht="75" x14ac:dyDescent="0.25">
      <c r="A134" s="50" t="s">
        <v>1048</v>
      </c>
    </row>
    <row r="135" spans="1:1" x14ac:dyDescent="0.25">
      <c r="A135" s="47" t="s">
        <v>1049</v>
      </c>
    </row>
    <row r="136" spans="1:1" ht="75" x14ac:dyDescent="0.25">
      <c r="A136" s="50" t="s">
        <v>964</v>
      </c>
    </row>
    <row r="137" spans="1:1" ht="75" x14ac:dyDescent="0.25">
      <c r="A137" s="50" t="s">
        <v>965</v>
      </c>
    </row>
    <row r="138" spans="1:1" ht="75" x14ac:dyDescent="0.25">
      <c r="A138" s="50" t="s">
        <v>982</v>
      </c>
    </row>
    <row r="139" spans="1:1" ht="75" x14ac:dyDescent="0.25">
      <c r="A139" s="50" t="s">
        <v>983</v>
      </c>
    </row>
    <row r="140" spans="1:1" ht="90" x14ac:dyDescent="0.25">
      <c r="A140" s="50" t="s">
        <v>966</v>
      </c>
    </row>
    <row r="141" spans="1:1" ht="60" x14ac:dyDescent="0.25">
      <c r="A141" s="50" t="s">
        <v>1148</v>
      </c>
    </row>
    <row r="142" spans="1:1" ht="90" x14ac:dyDescent="0.25">
      <c r="A142" s="50" t="s">
        <v>967</v>
      </c>
    </row>
    <row r="143" spans="1:1" ht="75" x14ac:dyDescent="0.25">
      <c r="A143" s="50" t="s">
        <v>1143</v>
      </c>
    </row>
    <row r="144" spans="1:1" ht="90" x14ac:dyDescent="0.25">
      <c r="A144" s="50" t="s">
        <v>968</v>
      </c>
    </row>
    <row r="145" spans="1:1" ht="75" x14ac:dyDescent="0.25">
      <c r="A145" s="50" t="s">
        <v>928</v>
      </c>
    </row>
    <row r="146" spans="1:1" ht="60" x14ac:dyDescent="0.25">
      <c r="A146" s="50" t="s">
        <v>929</v>
      </c>
    </row>
    <row r="147" spans="1:1" ht="75" x14ac:dyDescent="0.25">
      <c r="A147" s="50" t="s">
        <v>1115</v>
      </c>
    </row>
    <row r="148" spans="1:1" ht="105" x14ac:dyDescent="0.25">
      <c r="A148" s="50" t="s">
        <v>1116</v>
      </c>
    </row>
    <row r="149" spans="1:1" ht="75" x14ac:dyDescent="0.25">
      <c r="A149" s="50" t="s">
        <v>984</v>
      </c>
    </row>
    <row r="150" spans="1:1" ht="75" x14ac:dyDescent="0.25">
      <c r="A150" s="50" t="s">
        <v>1146</v>
      </c>
    </row>
    <row r="151" spans="1:1" ht="75" x14ac:dyDescent="0.25">
      <c r="A151" s="50" t="s">
        <v>1151</v>
      </c>
    </row>
    <row r="152" spans="1:1" ht="75" x14ac:dyDescent="0.25">
      <c r="A152" s="50" t="s">
        <v>1036</v>
      </c>
    </row>
    <row r="153" spans="1:1" ht="105" x14ac:dyDescent="0.25">
      <c r="A153" s="50" t="s">
        <v>1037</v>
      </c>
    </row>
    <row r="154" spans="1:1" ht="120" x14ac:dyDescent="0.25">
      <c r="A154" s="50" t="s">
        <v>1038</v>
      </c>
    </row>
    <row r="155" spans="1:1" ht="135" x14ac:dyDescent="0.25">
      <c r="A155" s="50" t="s">
        <v>1039</v>
      </c>
    </row>
    <row r="156" spans="1:1" ht="75" x14ac:dyDescent="0.25">
      <c r="A156" s="50" t="s">
        <v>1144</v>
      </c>
    </row>
    <row r="157" spans="1:1" ht="105" x14ac:dyDescent="0.25">
      <c r="A157" s="50" t="s">
        <v>954</v>
      </c>
    </row>
    <row r="158" spans="1:1" x14ac:dyDescent="0.25">
      <c r="A158" s="47" t="s">
        <v>1050</v>
      </c>
    </row>
    <row r="159" spans="1:1" x14ac:dyDescent="0.25">
      <c r="A159" s="47" t="s">
        <v>1051</v>
      </c>
    </row>
    <row r="160" spans="1:1" x14ac:dyDescent="0.25">
      <c r="A160" s="47" t="s">
        <v>1052</v>
      </c>
    </row>
    <row r="161" spans="1:1" ht="60" x14ac:dyDescent="0.25">
      <c r="A161" s="50" t="s">
        <v>1149</v>
      </c>
    </row>
    <row r="162" spans="1:1" ht="60" x14ac:dyDescent="0.25">
      <c r="A162" s="50" t="s">
        <v>1150</v>
      </c>
    </row>
    <row r="163" spans="1:1" ht="120" x14ac:dyDescent="0.25">
      <c r="A163" s="50" t="s">
        <v>1093</v>
      </c>
    </row>
    <row r="164" spans="1:1" ht="105" x14ac:dyDescent="0.25">
      <c r="A164" s="50" t="s">
        <v>955</v>
      </c>
    </row>
    <row r="165" spans="1:1" ht="60" x14ac:dyDescent="0.25">
      <c r="A165" s="50" t="s">
        <v>969</v>
      </c>
    </row>
    <row r="166" spans="1:1" ht="75" x14ac:dyDescent="0.25">
      <c r="A166" s="50" t="s">
        <v>1117</v>
      </c>
    </row>
    <row r="167" spans="1:1" ht="90" x14ac:dyDescent="0.25">
      <c r="A167" s="50" t="s">
        <v>1071</v>
      </c>
    </row>
    <row r="168" spans="1:1" ht="75" x14ac:dyDescent="0.25">
      <c r="A168" s="50" t="s">
        <v>970</v>
      </c>
    </row>
    <row r="169" spans="1:1" ht="75" x14ac:dyDescent="0.25">
      <c r="A169" s="50" t="s">
        <v>971</v>
      </c>
    </row>
    <row r="170" spans="1:1" ht="90" x14ac:dyDescent="0.25">
      <c r="A170" s="50" t="s">
        <v>1057</v>
      </c>
    </row>
    <row r="171" spans="1:1" x14ac:dyDescent="0.25">
      <c r="A171" s="47" t="s">
        <v>1078</v>
      </c>
    </row>
    <row r="172" spans="1:1" ht="90" x14ac:dyDescent="0.25">
      <c r="A172" s="50" t="s">
        <v>985</v>
      </c>
    </row>
    <row r="173" spans="1:1" x14ac:dyDescent="0.25">
      <c r="A173" s="47" t="s">
        <v>1072</v>
      </c>
    </row>
    <row r="174" spans="1:1" ht="60" x14ac:dyDescent="0.25">
      <c r="A174" s="50" t="s">
        <v>1059</v>
      </c>
    </row>
    <row r="175" spans="1:1" ht="75" x14ac:dyDescent="0.25">
      <c r="A175" s="50" t="s">
        <v>1060</v>
      </c>
    </row>
    <row r="176" spans="1:1" ht="105" x14ac:dyDescent="0.25">
      <c r="A176" s="50" t="s">
        <v>1061</v>
      </c>
    </row>
    <row r="177" spans="1:1" x14ac:dyDescent="0.25">
      <c r="A177" s="47" t="s">
        <v>1079</v>
      </c>
    </row>
    <row r="178" spans="1:1" ht="75" x14ac:dyDescent="0.25">
      <c r="A178" s="50" t="s">
        <v>1000</v>
      </c>
    </row>
    <row r="179" spans="1:1" ht="75" x14ac:dyDescent="0.25">
      <c r="A179" s="50" t="s">
        <v>992</v>
      </c>
    </row>
    <row r="180" spans="1:1" ht="75" x14ac:dyDescent="0.25">
      <c r="A180" s="50" t="s">
        <v>1040</v>
      </c>
    </row>
    <row r="181" spans="1:1" ht="75" x14ac:dyDescent="0.25">
      <c r="A181" s="50" t="s">
        <v>993</v>
      </c>
    </row>
    <row r="182" spans="1:1" ht="75" x14ac:dyDescent="0.25">
      <c r="A182" s="50" t="s">
        <v>1062</v>
      </c>
    </row>
    <row r="183" spans="1:1" ht="75" x14ac:dyDescent="0.25">
      <c r="A183" s="50" t="s">
        <v>972</v>
      </c>
    </row>
    <row r="184" spans="1:1" ht="75" x14ac:dyDescent="0.25">
      <c r="A184" s="50" t="s">
        <v>973</v>
      </c>
    </row>
    <row r="185" spans="1:1" ht="75" x14ac:dyDescent="0.25">
      <c r="A185" s="50" t="s">
        <v>974</v>
      </c>
    </row>
    <row r="186" spans="1:1" ht="105" x14ac:dyDescent="0.25">
      <c r="A186" s="50" t="s">
        <v>986</v>
      </c>
    </row>
    <row r="187" spans="1:1" ht="75" x14ac:dyDescent="0.25">
      <c r="A187" s="50" t="s">
        <v>1147</v>
      </c>
    </row>
    <row r="188" spans="1:1" ht="75" x14ac:dyDescent="0.25">
      <c r="A188" s="50" t="s">
        <v>1152</v>
      </c>
    </row>
    <row r="189" spans="1:1" ht="75" x14ac:dyDescent="0.25">
      <c r="A189" s="50" t="s">
        <v>1118</v>
      </c>
    </row>
    <row r="190" spans="1:1" ht="105" x14ac:dyDescent="0.25">
      <c r="A190" s="50" t="s">
        <v>1119</v>
      </c>
    </row>
    <row r="191" spans="1:1" ht="105" x14ac:dyDescent="0.25">
      <c r="A191" s="50" t="s">
        <v>1080</v>
      </c>
    </row>
    <row r="192" spans="1:1" ht="90" x14ac:dyDescent="0.25">
      <c r="A192" s="50" t="s">
        <v>1081</v>
      </c>
    </row>
    <row r="193" spans="1:1" ht="90" x14ac:dyDescent="0.25">
      <c r="A193" s="50" t="s">
        <v>1082</v>
      </c>
    </row>
    <row r="194" spans="1:1" ht="90" x14ac:dyDescent="0.25">
      <c r="A194" s="50" t="s">
        <v>1083</v>
      </c>
    </row>
    <row r="195" spans="1:1" ht="90" x14ac:dyDescent="0.25">
      <c r="A195" s="50" t="s">
        <v>1084</v>
      </c>
    </row>
    <row r="196" spans="1:1" ht="105" x14ac:dyDescent="0.25">
      <c r="A196" s="50" t="s">
        <v>1085</v>
      </c>
    </row>
    <row r="197" spans="1:1" ht="120" x14ac:dyDescent="0.25">
      <c r="A197" s="50" t="s">
        <v>1086</v>
      </c>
    </row>
    <row r="198" spans="1:1" ht="90" x14ac:dyDescent="0.25">
      <c r="A198" s="50" t="s">
        <v>1087</v>
      </c>
    </row>
    <row r="199" spans="1:1" ht="105" x14ac:dyDescent="0.25">
      <c r="A199" s="50" t="s">
        <v>1088</v>
      </c>
    </row>
    <row r="200" spans="1:1" ht="105" x14ac:dyDescent="0.25">
      <c r="A200" s="50" t="s">
        <v>1089</v>
      </c>
    </row>
    <row r="201" spans="1:1" ht="105" x14ac:dyDescent="0.25">
      <c r="A201" s="50" t="s">
        <v>1090</v>
      </c>
    </row>
    <row r="202" spans="1:1" ht="90" x14ac:dyDescent="0.25">
      <c r="A202" s="50" t="s">
        <v>1091</v>
      </c>
    </row>
    <row r="203" spans="1:1" ht="105" x14ac:dyDescent="0.25">
      <c r="A203" s="50" t="s">
        <v>1092</v>
      </c>
    </row>
    <row r="204" spans="1:1" ht="105" x14ac:dyDescent="0.25">
      <c r="A204" s="50" t="s">
        <v>987</v>
      </c>
    </row>
    <row r="205" spans="1:1" ht="75" x14ac:dyDescent="0.25">
      <c r="A205" s="50" t="s">
        <v>1053</v>
      </c>
    </row>
    <row r="206" spans="1:1" ht="90" x14ac:dyDescent="0.25">
      <c r="A206" s="50" t="s">
        <v>941</v>
      </c>
    </row>
    <row r="207" spans="1:1" ht="75" x14ac:dyDescent="0.25">
      <c r="A207" s="50" t="s">
        <v>975</v>
      </c>
    </row>
    <row r="208" spans="1:1" ht="120" x14ac:dyDescent="0.25">
      <c r="A208" s="50" t="s">
        <v>994</v>
      </c>
    </row>
    <row r="209" spans="1:1" ht="60" x14ac:dyDescent="0.25">
      <c r="A209" s="50" t="s">
        <v>930</v>
      </c>
    </row>
    <row r="210" spans="1:1" ht="105" x14ac:dyDescent="0.25">
      <c r="A210" s="50" t="s">
        <v>931</v>
      </c>
    </row>
    <row r="211" spans="1:1" ht="105" x14ac:dyDescent="0.25">
      <c r="A211" s="50" t="s">
        <v>932</v>
      </c>
    </row>
    <row r="212" spans="1:1" ht="60" x14ac:dyDescent="0.25">
      <c r="A212" s="50" t="s">
        <v>1120</v>
      </c>
    </row>
    <row r="213" spans="1:1" ht="75" x14ac:dyDescent="0.25">
      <c r="A213" s="50" t="s">
        <v>933</v>
      </c>
    </row>
    <row r="214" spans="1:1" ht="75" x14ac:dyDescent="0.25">
      <c r="A214" s="50" t="s">
        <v>988</v>
      </c>
    </row>
    <row r="215" spans="1:1" ht="60" x14ac:dyDescent="0.25">
      <c r="A215" s="50" t="s">
        <v>923</v>
      </c>
    </row>
    <row r="216" spans="1:1" ht="75" x14ac:dyDescent="0.25">
      <c r="A216" s="50" t="s">
        <v>989</v>
      </c>
    </row>
    <row r="217" spans="1:1" ht="60" x14ac:dyDescent="0.25">
      <c r="A217" s="50" t="s">
        <v>1145</v>
      </c>
    </row>
    <row r="218" spans="1:1" ht="120" x14ac:dyDescent="0.25">
      <c r="A218" s="50" t="s">
        <v>1094</v>
      </c>
    </row>
    <row r="219" spans="1:1" ht="105" x14ac:dyDescent="0.25">
      <c r="A219" s="50" t="s">
        <v>1095</v>
      </c>
    </row>
    <row r="220" spans="1:1" ht="90" x14ac:dyDescent="0.25">
      <c r="A220" s="50" t="s">
        <v>1096</v>
      </c>
    </row>
    <row r="221" spans="1:1" ht="90" x14ac:dyDescent="0.25">
      <c r="A221" s="50" t="s">
        <v>1097</v>
      </c>
    </row>
    <row r="222" spans="1:1" ht="90" x14ac:dyDescent="0.25">
      <c r="A222" s="50" t="s">
        <v>1098</v>
      </c>
    </row>
    <row r="223" spans="1:1" ht="90" x14ac:dyDescent="0.25">
      <c r="A223" s="50" t="s">
        <v>1099</v>
      </c>
    </row>
    <row r="224" spans="1:1" ht="105" x14ac:dyDescent="0.25">
      <c r="A224" s="50" t="s">
        <v>1100</v>
      </c>
    </row>
    <row r="225" spans="1:1" ht="105" x14ac:dyDescent="0.25">
      <c r="A225" s="50" t="s">
        <v>1101</v>
      </c>
    </row>
    <row r="226" spans="1:1" ht="105" x14ac:dyDescent="0.25">
      <c r="A226" s="50" t="s">
        <v>1102</v>
      </c>
    </row>
    <row r="227" spans="1:1" ht="120" x14ac:dyDescent="0.25">
      <c r="A227" s="50" t="s">
        <v>1103</v>
      </c>
    </row>
    <row r="228" spans="1:1" ht="105" x14ac:dyDescent="0.25">
      <c r="A228" s="50" t="s">
        <v>1104</v>
      </c>
    </row>
    <row r="229" spans="1:1" ht="120" x14ac:dyDescent="0.25">
      <c r="A229" s="50" t="s">
        <v>1105</v>
      </c>
    </row>
    <row r="230" spans="1:1" ht="105" x14ac:dyDescent="0.25">
      <c r="A230" s="50" t="s">
        <v>1106</v>
      </c>
    </row>
    <row r="231" spans="1:1" ht="105" x14ac:dyDescent="0.25">
      <c r="A231" s="50" t="s">
        <v>1107</v>
      </c>
    </row>
    <row r="232" spans="1:1" ht="120" x14ac:dyDescent="0.25">
      <c r="A232" s="50" t="s">
        <v>1108</v>
      </c>
    </row>
    <row r="233" spans="1:1" ht="90" x14ac:dyDescent="0.25">
      <c r="A233" s="50" t="s">
        <v>1109</v>
      </c>
    </row>
    <row r="234" spans="1:1" ht="90" x14ac:dyDescent="0.25">
      <c r="A234" s="50" t="s">
        <v>1121</v>
      </c>
    </row>
    <row r="235" spans="1:1" ht="75" x14ac:dyDescent="0.25">
      <c r="A235" s="50" t="s">
        <v>934</v>
      </c>
    </row>
    <row r="236" spans="1:1" x14ac:dyDescent="0.25">
      <c r="A236" s="47"/>
    </row>
    <row r="237" spans="1:1" x14ac:dyDescent="0.25">
      <c r="A237" s="47"/>
    </row>
    <row r="238" spans="1:1" x14ac:dyDescent="0.25">
      <c r="A238" s="47"/>
    </row>
    <row r="239" spans="1:1" x14ac:dyDescent="0.25">
      <c r="A239" s="47"/>
    </row>
    <row r="240" spans="1:1" x14ac:dyDescent="0.25">
      <c r="A240" s="47"/>
    </row>
    <row r="241" spans="1:1" x14ac:dyDescent="0.25">
      <c r="A241" s="47"/>
    </row>
    <row r="242" spans="1:1" x14ac:dyDescent="0.25">
      <c r="A242" s="47"/>
    </row>
    <row r="243" spans="1:1" x14ac:dyDescent="0.25">
      <c r="A243" s="47"/>
    </row>
    <row r="244" spans="1:1" x14ac:dyDescent="0.25">
      <c r="A244" s="47"/>
    </row>
    <row r="245" spans="1:1" x14ac:dyDescent="0.25">
      <c r="A245" s="47"/>
    </row>
    <row r="246" spans="1:1" x14ac:dyDescent="0.25">
      <c r="A246" s="47"/>
    </row>
    <row r="247" spans="1:1" x14ac:dyDescent="0.25">
      <c r="A247" s="47"/>
    </row>
    <row r="248" spans="1:1" x14ac:dyDescent="0.25">
      <c r="A248" s="47"/>
    </row>
  </sheetData>
  <sortState ref="A6:A248">
    <sortCondition ref="A1"/>
  </sortSt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1_Click">
                <anchor>
                  <from>
                    <xdr:col>0</xdr:col>
                    <xdr:colOff>676275</xdr:colOff>
                    <xdr:row>2</xdr:row>
                    <xdr:rowOff>9525</xdr:rowOff>
                  </from>
                  <to>
                    <xdr:col>0</xdr:col>
                    <xdr:colOff>1447800</xdr:colOff>
                    <xdr:row>4</xdr:row>
                    <xdr:rowOff>104775</xdr:rowOff>
                  </to>
                </anchor>
              </controlPr>
            </control>
          </mc:Choice>
        </mc:AlternateContent>
        <mc:AlternateContent xmlns:mc="http://schemas.openxmlformats.org/markup-compatibility/2006">
          <mc:Choice Requires="x14">
            <control shapeId="10242" r:id="rId5" name="Button 2">
              <controlPr defaultSize="0" print="0" autoFill="0" autoPict="0" macro="[0]!Button2_Click">
                <anchor>
                  <from>
                    <xdr:col>0</xdr:col>
                    <xdr:colOff>1628775</xdr:colOff>
                    <xdr:row>2</xdr:row>
                    <xdr:rowOff>19050</xdr:rowOff>
                  </from>
                  <to>
                    <xdr:col>0</xdr:col>
                    <xdr:colOff>2628900</xdr:colOff>
                    <xdr:row>4</xdr:row>
                    <xdr:rowOff>114300</xdr:rowOff>
                  </to>
                </anchor>
              </controlPr>
            </control>
          </mc:Choice>
        </mc:AlternateContent>
        <mc:AlternateContent xmlns:mc="http://schemas.openxmlformats.org/markup-compatibility/2006">
          <mc:Choice Requires="x14">
            <control shapeId="10243" r:id="rId6" name="Button 3">
              <controlPr defaultSize="0" print="0" autoFill="0" autoPict="0" macro="[0]!Button3_Click">
                <anchor moveWithCells="1">
                  <from>
                    <xdr:col>0</xdr:col>
                    <xdr:colOff>2914650</xdr:colOff>
                    <xdr:row>2</xdr:row>
                    <xdr:rowOff>19050</xdr:rowOff>
                  </from>
                  <to>
                    <xdr:col>0</xdr:col>
                    <xdr:colOff>3800475</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3:H8"/>
  <sheetViews>
    <sheetView workbookViewId="0">
      <pane ySplit="3" topLeftCell="A7" activePane="bottomLeft" state="frozen"/>
      <selection pane="bottomLeft" activeCell="B7" sqref="B7"/>
    </sheetView>
  </sheetViews>
  <sheetFormatPr defaultRowHeight="15" x14ac:dyDescent="0.25"/>
  <cols>
    <col min="1" max="1" width="18.140625" style="26" customWidth="1"/>
    <col min="2" max="3" width="100.7109375" style="29" customWidth="1"/>
    <col min="4" max="7" width="9.140625" style="27"/>
    <col min="8" max="8" width="36.28515625" style="27" customWidth="1"/>
    <col min="9" max="16384" width="9.140625" style="27"/>
  </cols>
  <sheetData>
    <row r="3" spans="1:8" x14ac:dyDescent="0.25">
      <c r="A3" s="26" t="s">
        <v>323</v>
      </c>
      <c r="B3" s="34" t="s">
        <v>477</v>
      </c>
      <c r="C3" s="34" t="s">
        <v>470</v>
      </c>
    </row>
    <row r="4" spans="1:8" ht="90" x14ac:dyDescent="0.25">
      <c r="A4" s="26" t="s">
        <v>342</v>
      </c>
      <c r="B4" s="28" t="s">
        <v>1153</v>
      </c>
      <c r="H4" s="49"/>
    </row>
    <row r="5" spans="1:8" ht="381" customHeight="1" x14ac:dyDescent="0.25">
      <c r="A5" s="26" t="s">
        <v>343</v>
      </c>
      <c r="B5" s="28" t="s">
        <v>1154</v>
      </c>
    </row>
    <row r="6" spans="1:8" ht="258" customHeight="1" x14ac:dyDescent="0.25">
      <c r="A6" s="26" t="s">
        <v>344</v>
      </c>
      <c r="B6" s="28" t="s">
        <v>1155</v>
      </c>
    </row>
    <row r="7" spans="1:8" ht="45" customHeight="1" x14ac:dyDescent="0.25">
      <c r="A7" s="26" t="s">
        <v>474</v>
      </c>
      <c r="B7" s="29" t="s">
        <v>1171</v>
      </c>
    </row>
    <row r="8" spans="1:8" ht="258.75" customHeight="1" x14ac:dyDescent="0.25">
      <c r="A8" s="26" t="s">
        <v>475</v>
      </c>
      <c r="B8" s="28" t="s">
        <v>1172</v>
      </c>
      <c r="C8" s="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KeywordLists_Button1_Click">
                <anchor moveWithCells="1" sizeWithCells="1">
                  <from>
                    <xdr:col>1</xdr:col>
                    <xdr:colOff>2238375</xdr:colOff>
                    <xdr:row>0</xdr:row>
                    <xdr:rowOff>95250</xdr:rowOff>
                  </from>
                  <to>
                    <xdr:col>1</xdr:col>
                    <xdr:colOff>3590925</xdr:colOff>
                    <xdr:row>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36"/>
  <sheetViews>
    <sheetView workbookViewId="0">
      <selection activeCell="B32" sqref="B32"/>
    </sheetView>
  </sheetViews>
  <sheetFormatPr defaultRowHeight="15" x14ac:dyDescent="0.25"/>
  <cols>
    <col min="1" max="1" width="22.85546875" bestFit="1" customWidth="1"/>
  </cols>
  <sheetData>
    <row r="1" spans="1:1" x14ac:dyDescent="0.25">
      <c r="A1" s="41" t="s">
        <v>146</v>
      </c>
    </row>
    <row r="2" spans="1:1" x14ac:dyDescent="0.25">
      <c r="A2" t="s">
        <v>515</v>
      </c>
    </row>
    <row r="3" spans="1:1" x14ac:dyDescent="0.25">
      <c r="A3" t="s">
        <v>516</v>
      </c>
    </row>
    <row r="4" spans="1:1" x14ac:dyDescent="0.25">
      <c r="A4" t="s">
        <v>517</v>
      </c>
    </row>
    <row r="5" spans="1:1" x14ac:dyDescent="0.25">
      <c r="A5" t="s">
        <v>518</v>
      </c>
    </row>
    <row r="6" spans="1:1" x14ac:dyDescent="0.25">
      <c r="A6" t="s">
        <v>519</v>
      </c>
    </row>
    <row r="7" spans="1:1" x14ac:dyDescent="0.25">
      <c r="A7" t="s">
        <v>520</v>
      </c>
    </row>
    <row r="8" spans="1:1" x14ac:dyDescent="0.25">
      <c r="A8" t="s">
        <v>521</v>
      </c>
    </row>
    <row r="9" spans="1:1" x14ac:dyDescent="0.25">
      <c r="A9" t="s">
        <v>522</v>
      </c>
    </row>
    <row r="10" spans="1:1" x14ac:dyDescent="0.25">
      <c r="A10" t="s">
        <v>53</v>
      </c>
    </row>
    <row r="11" spans="1:1" x14ac:dyDescent="0.25">
      <c r="A11" t="s">
        <v>49</v>
      </c>
    </row>
    <row r="12" spans="1:1" x14ac:dyDescent="0.25">
      <c r="A12" t="s">
        <v>50</v>
      </c>
    </row>
    <row r="13" spans="1:1" x14ac:dyDescent="0.25">
      <c r="A13" t="s">
        <v>514</v>
      </c>
    </row>
    <row r="14" spans="1:1" x14ac:dyDescent="0.25">
      <c r="A14" t="s">
        <v>51</v>
      </c>
    </row>
    <row r="15" spans="1:1" x14ac:dyDescent="0.25">
      <c r="A15" t="s">
        <v>54</v>
      </c>
    </row>
    <row r="16" spans="1:1" x14ac:dyDescent="0.25">
      <c r="A16" t="s">
        <v>55</v>
      </c>
    </row>
    <row r="17" spans="1:1" x14ac:dyDescent="0.25">
      <c r="A17" t="s">
        <v>56</v>
      </c>
    </row>
    <row r="18" spans="1:1" x14ac:dyDescent="0.25">
      <c r="A18" t="s">
        <v>58</v>
      </c>
    </row>
    <row r="19" spans="1:1" x14ac:dyDescent="0.25">
      <c r="A19" t="s">
        <v>59</v>
      </c>
    </row>
    <row r="20" spans="1:1" x14ac:dyDescent="0.25">
      <c r="A20" t="s">
        <v>60</v>
      </c>
    </row>
    <row r="21" spans="1:1" x14ac:dyDescent="0.25">
      <c r="A21" t="s">
        <v>61</v>
      </c>
    </row>
    <row r="22" spans="1:1" x14ac:dyDescent="0.25">
      <c r="A22" t="s">
        <v>62</v>
      </c>
    </row>
    <row r="23" spans="1:1" x14ac:dyDescent="0.25">
      <c r="A23" t="s">
        <v>523</v>
      </c>
    </row>
    <row r="24" spans="1:1" x14ac:dyDescent="0.25">
      <c r="A24" t="s">
        <v>63</v>
      </c>
    </row>
    <row r="25" spans="1:1" x14ac:dyDescent="0.25">
      <c r="A25" t="s">
        <v>524</v>
      </c>
    </row>
    <row r="26" spans="1:1" x14ac:dyDescent="0.25">
      <c r="A26" t="s">
        <v>525</v>
      </c>
    </row>
    <row r="27" spans="1:1" x14ac:dyDescent="0.25">
      <c r="A27" t="s">
        <v>52</v>
      </c>
    </row>
    <row r="28" spans="1:1" x14ac:dyDescent="0.25">
      <c r="A28" t="s">
        <v>526</v>
      </c>
    </row>
    <row r="29" spans="1:1" x14ac:dyDescent="0.25">
      <c r="A29" t="s">
        <v>527</v>
      </c>
    </row>
    <row r="30" spans="1:1" x14ac:dyDescent="0.25">
      <c r="A30" t="s">
        <v>528</v>
      </c>
    </row>
    <row r="31" spans="1:1" x14ac:dyDescent="0.25">
      <c r="A31" t="s">
        <v>529</v>
      </c>
    </row>
    <row r="32" spans="1:1" x14ac:dyDescent="0.25">
      <c r="A32" t="s">
        <v>530</v>
      </c>
    </row>
    <row r="33" spans="1:1" x14ac:dyDescent="0.25">
      <c r="A33" t="s">
        <v>531</v>
      </c>
    </row>
    <row r="34" spans="1:1" x14ac:dyDescent="0.25">
      <c r="A34" t="s">
        <v>532</v>
      </c>
    </row>
    <row r="35" spans="1:1" x14ac:dyDescent="0.25">
      <c r="A35" t="s">
        <v>319</v>
      </c>
    </row>
    <row r="36" spans="1:1" x14ac:dyDescent="0.25">
      <c r="A36" t="s">
        <v>533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98"/>
  <sheetViews>
    <sheetView workbookViewId="0">
      <pane ySplit="1" topLeftCell="A2" activePane="bottomLeft" state="frozen"/>
      <selection pane="bottomLeft" activeCell="C37" sqref="C37"/>
    </sheetView>
  </sheetViews>
  <sheetFormatPr defaultRowHeight="15" x14ac:dyDescent="0.25"/>
  <cols>
    <col min="1" max="1" width="46.85546875" style="16" bestFit="1" customWidth="1"/>
    <col min="2" max="2" width="16.140625" style="16" bestFit="1" customWidth="1"/>
    <col min="3" max="3" width="14.5703125" style="16" bestFit="1" customWidth="1"/>
    <col min="4" max="4" width="13.7109375" style="52" bestFit="1" customWidth="1"/>
    <col min="5" max="5" width="36.140625" style="16" bestFit="1" customWidth="1"/>
    <col min="6" max="16384" width="9.140625" style="16"/>
  </cols>
  <sheetData>
    <row r="1" spans="1:5" x14ac:dyDescent="0.25">
      <c r="A1" s="19" t="s">
        <v>476</v>
      </c>
      <c r="B1" s="19" t="s">
        <v>473</v>
      </c>
      <c r="C1" s="19" t="s">
        <v>411</v>
      </c>
      <c r="D1" s="51" t="s">
        <v>468</v>
      </c>
      <c r="E1" s="19" t="s">
        <v>470</v>
      </c>
    </row>
    <row r="2" spans="1:5" x14ac:dyDescent="0.25">
      <c r="A2" s="16" t="s">
        <v>386</v>
      </c>
      <c r="B2" s="16" t="s">
        <v>466</v>
      </c>
      <c r="E2" s="16" t="s">
        <v>471</v>
      </c>
    </row>
    <row r="3" spans="1:5" x14ac:dyDescent="0.25">
      <c r="A3" s="16" t="s">
        <v>387</v>
      </c>
      <c r="C3" s="16" t="s">
        <v>466</v>
      </c>
      <c r="D3" s="52" t="s">
        <v>469</v>
      </c>
    </row>
    <row r="4" spans="1:5" x14ac:dyDescent="0.25">
      <c r="A4" s="16" t="s">
        <v>388</v>
      </c>
    </row>
    <row r="5" spans="1:5" x14ac:dyDescent="0.25">
      <c r="A5" s="16" t="s">
        <v>389</v>
      </c>
      <c r="C5" s="16" t="s">
        <v>466</v>
      </c>
    </row>
    <row r="6" spans="1:5" x14ac:dyDescent="0.25">
      <c r="A6" s="16" t="s">
        <v>390</v>
      </c>
      <c r="C6" s="16" t="s">
        <v>466</v>
      </c>
    </row>
    <row r="7" spans="1:5" x14ac:dyDescent="0.25">
      <c r="A7" s="16" t="s">
        <v>391</v>
      </c>
    </row>
    <row r="8" spans="1:5" x14ac:dyDescent="0.25">
      <c r="A8" s="16" t="s">
        <v>392</v>
      </c>
    </row>
    <row r="9" spans="1:5" x14ac:dyDescent="0.25">
      <c r="A9" s="16" t="s">
        <v>393</v>
      </c>
    </row>
    <row r="10" spans="1:5" x14ac:dyDescent="0.25">
      <c r="A10" s="16" t="s">
        <v>394</v>
      </c>
      <c r="B10" s="16" t="s">
        <v>466</v>
      </c>
      <c r="C10" s="16" t="s">
        <v>466</v>
      </c>
    </row>
    <row r="11" spans="1:5" x14ac:dyDescent="0.25">
      <c r="A11" s="16" t="s">
        <v>395</v>
      </c>
      <c r="C11" s="16" t="s">
        <v>466</v>
      </c>
    </row>
    <row r="12" spans="1:5" x14ac:dyDescent="0.25">
      <c r="A12" s="16" t="s">
        <v>396</v>
      </c>
      <c r="C12" s="16" t="s">
        <v>466</v>
      </c>
      <c r="D12" s="52">
        <v>500</v>
      </c>
    </row>
    <row r="13" spans="1:5" x14ac:dyDescent="0.25">
      <c r="A13" s="16" t="s">
        <v>401</v>
      </c>
    </row>
    <row r="14" spans="1:5" x14ac:dyDescent="0.25">
      <c r="A14" s="16" t="s">
        <v>397</v>
      </c>
    </row>
    <row r="15" spans="1:5" x14ac:dyDescent="0.25">
      <c r="A15" s="16" t="s">
        <v>398</v>
      </c>
    </row>
    <row r="16" spans="1:5" x14ac:dyDescent="0.25">
      <c r="A16" s="16" t="s">
        <v>399</v>
      </c>
      <c r="B16" s="16" t="s">
        <v>466</v>
      </c>
    </row>
    <row r="17" spans="1:4" x14ac:dyDescent="0.25">
      <c r="A17" s="16" t="s">
        <v>402</v>
      </c>
      <c r="B17" s="16" t="s">
        <v>466</v>
      </c>
      <c r="C17" s="16" t="s">
        <v>466</v>
      </c>
    </row>
    <row r="18" spans="1:4" x14ac:dyDescent="0.25">
      <c r="A18" s="16" t="s">
        <v>400</v>
      </c>
    </row>
    <row r="19" spans="1:4" x14ac:dyDescent="0.25">
      <c r="A19" s="16" t="s">
        <v>403</v>
      </c>
      <c r="C19" s="16" t="s">
        <v>466</v>
      </c>
      <c r="D19" s="52">
        <v>60</v>
      </c>
    </row>
    <row r="20" spans="1:4" x14ac:dyDescent="0.25">
      <c r="A20" s="16" t="s">
        <v>404</v>
      </c>
    </row>
    <row r="21" spans="1:4" x14ac:dyDescent="0.25">
      <c r="A21" s="16" t="s">
        <v>405</v>
      </c>
    </row>
    <row r="22" spans="1:4" x14ac:dyDescent="0.25">
      <c r="A22" s="16" t="s">
        <v>406</v>
      </c>
    </row>
    <row r="23" spans="1:4" x14ac:dyDescent="0.25">
      <c r="A23" s="16" t="s">
        <v>407</v>
      </c>
      <c r="B23" s="16" t="s">
        <v>466</v>
      </c>
    </row>
    <row r="24" spans="1:4" x14ac:dyDescent="0.25">
      <c r="A24" s="16" t="s">
        <v>408</v>
      </c>
      <c r="B24" s="16" t="s">
        <v>466</v>
      </c>
      <c r="C24" s="16" t="s">
        <v>466</v>
      </c>
    </row>
    <row r="25" spans="1:4" x14ac:dyDescent="0.25">
      <c r="A25" s="16" t="s">
        <v>409</v>
      </c>
    </row>
    <row r="26" spans="1:4" x14ac:dyDescent="0.25">
      <c r="A26" s="16" t="s">
        <v>410</v>
      </c>
    </row>
    <row r="27" spans="1:4" x14ac:dyDescent="0.25">
      <c r="A27" s="16" t="s">
        <v>412</v>
      </c>
    </row>
    <row r="28" spans="1:4" x14ac:dyDescent="0.25">
      <c r="A28" s="16" t="s">
        <v>413</v>
      </c>
    </row>
    <row r="29" spans="1:4" x14ac:dyDescent="0.25">
      <c r="A29" s="16" t="s">
        <v>414</v>
      </c>
    </row>
    <row r="30" spans="1:4" x14ac:dyDescent="0.25">
      <c r="A30" s="54" t="s">
        <v>1156</v>
      </c>
      <c r="B30" s="16" t="s">
        <v>466</v>
      </c>
      <c r="C30" s="16" t="s">
        <v>466</v>
      </c>
      <c r="D30" s="52" t="s">
        <v>1157</v>
      </c>
    </row>
    <row r="31" spans="1:4" x14ac:dyDescent="0.25">
      <c r="A31" s="16" t="s">
        <v>415</v>
      </c>
    </row>
    <row r="32" spans="1:4" x14ac:dyDescent="0.25">
      <c r="A32" s="16" t="s">
        <v>416</v>
      </c>
    </row>
    <row r="33" spans="1:4" x14ac:dyDescent="0.25">
      <c r="A33" s="16" t="s">
        <v>417</v>
      </c>
      <c r="B33" s="16" t="s">
        <v>466</v>
      </c>
    </row>
    <row r="34" spans="1:4" x14ac:dyDescent="0.25">
      <c r="A34" s="16" t="s">
        <v>418</v>
      </c>
      <c r="B34" s="16" t="s">
        <v>466</v>
      </c>
      <c r="C34" s="16" t="s">
        <v>466</v>
      </c>
      <c r="D34" s="52">
        <v>900</v>
      </c>
    </row>
    <row r="35" spans="1:4" x14ac:dyDescent="0.25">
      <c r="A35" s="16" t="s">
        <v>419</v>
      </c>
      <c r="B35" s="16" t="s">
        <v>466</v>
      </c>
    </row>
    <row r="36" spans="1:4" x14ac:dyDescent="0.25">
      <c r="A36" s="16" t="s">
        <v>420</v>
      </c>
      <c r="B36" s="16" t="s">
        <v>466</v>
      </c>
    </row>
    <row r="37" spans="1:4" x14ac:dyDescent="0.25">
      <c r="A37" s="54" t="s">
        <v>1158</v>
      </c>
    </row>
    <row r="38" spans="1:4" x14ac:dyDescent="0.25">
      <c r="A38" s="16" t="s">
        <v>481</v>
      </c>
    </row>
    <row r="39" spans="1:4" x14ac:dyDescent="0.25">
      <c r="A39" s="54" t="s">
        <v>1159</v>
      </c>
    </row>
    <row r="40" spans="1:4" x14ac:dyDescent="0.25">
      <c r="A40" s="16" t="s">
        <v>482</v>
      </c>
    </row>
    <row r="41" spans="1:4" x14ac:dyDescent="0.25">
      <c r="A41" s="16" t="s">
        <v>480</v>
      </c>
    </row>
    <row r="42" spans="1:4" x14ac:dyDescent="0.25">
      <c r="A42" s="16" t="s">
        <v>421</v>
      </c>
    </row>
    <row r="43" spans="1:4" x14ac:dyDescent="0.25">
      <c r="A43" s="16" t="s">
        <v>423</v>
      </c>
    </row>
    <row r="44" spans="1:4" x14ac:dyDescent="0.25">
      <c r="A44" s="16" t="s">
        <v>424</v>
      </c>
    </row>
    <row r="45" spans="1:4" x14ac:dyDescent="0.25">
      <c r="A45" s="16" t="s">
        <v>422</v>
      </c>
    </row>
    <row r="46" spans="1:4" x14ac:dyDescent="0.25">
      <c r="A46" s="16" t="s">
        <v>425</v>
      </c>
      <c r="C46" s="16" t="s">
        <v>466</v>
      </c>
      <c r="D46" s="52" t="s">
        <v>469</v>
      </c>
    </row>
    <row r="47" spans="1:4" x14ac:dyDescent="0.25">
      <c r="A47" s="16" t="s">
        <v>426</v>
      </c>
      <c r="B47" s="16" t="s">
        <v>466</v>
      </c>
      <c r="C47" s="16" t="s">
        <v>466</v>
      </c>
    </row>
    <row r="48" spans="1:4" x14ac:dyDescent="0.25">
      <c r="A48" s="16" t="s">
        <v>427</v>
      </c>
      <c r="C48" s="16" t="s">
        <v>466</v>
      </c>
      <c r="D48" s="52">
        <v>5000</v>
      </c>
    </row>
    <row r="49" spans="1:5" x14ac:dyDescent="0.25">
      <c r="A49" s="54" t="s">
        <v>1160</v>
      </c>
    </row>
    <row r="50" spans="1:5" x14ac:dyDescent="0.25">
      <c r="A50" s="16" t="s">
        <v>428</v>
      </c>
      <c r="B50" s="16" t="s">
        <v>466</v>
      </c>
      <c r="C50" s="16" t="s">
        <v>466</v>
      </c>
      <c r="E50" s="16" t="s">
        <v>472</v>
      </c>
    </row>
    <row r="51" spans="1:5" x14ac:dyDescent="0.25">
      <c r="A51" s="16" t="s">
        <v>429</v>
      </c>
    </row>
    <row r="52" spans="1:5" x14ac:dyDescent="0.25">
      <c r="A52" s="16" t="s">
        <v>430</v>
      </c>
    </row>
    <row r="53" spans="1:5" x14ac:dyDescent="0.25">
      <c r="A53" s="16" t="s">
        <v>431</v>
      </c>
    </row>
    <row r="54" spans="1:5" x14ac:dyDescent="0.25">
      <c r="A54" s="54" t="s">
        <v>1161</v>
      </c>
    </row>
    <row r="55" spans="1:5" x14ac:dyDescent="0.25">
      <c r="A55" s="16" t="s">
        <v>432</v>
      </c>
      <c r="B55" s="16" t="s">
        <v>466</v>
      </c>
    </row>
    <row r="56" spans="1:5" x14ac:dyDescent="0.25">
      <c r="A56" s="16" t="s">
        <v>433</v>
      </c>
      <c r="B56" s="16" t="s">
        <v>466</v>
      </c>
      <c r="C56" s="16" t="s">
        <v>466</v>
      </c>
    </row>
    <row r="57" spans="1:5" x14ac:dyDescent="0.25">
      <c r="A57" s="16" t="s">
        <v>434</v>
      </c>
    </row>
    <row r="58" spans="1:5" x14ac:dyDescent="0.25">
      <c r="A58" s="16" t="s">
        <v>435</v>
      </c>
    </row>
    <row r="59" spans="1:5" x14ac:dyDescent="0.25">
      <c r="A59" s="54" t="s">
        <v>1162</v>
      </c>
    </row>
    <row r="60" spans="1:5" x14ac:dyDescent="0.25">
      <c r="A60" s="54" t="s">
        <v>1163</v>
      </c>
    </row>
    <row r="61" spans="1:5" x14ac:dyDescent="0.25">
      <c r="A61" s="16" t="s">
        <v>479</v>
      </c>
      <c r="B61" s="16" t="s">
        <v>466</v>
      </c>
      <c r="C61" s="16" t="s">
        <v>466</v>
      </c>
      <c r="D61" s="55" t="s">
        <v>469</v>
      </c>
    </row>
    <row r="62" spans="1:5" x14ac:dyDescent="0.25">
      <c r="A62" s="16" t="s">
        <v>436</v>
      </c>
    </row>
    <row r="63" spans="1:5" x14ac:dyDescent="0.25">
      <c r="A63" s="16" t="s">
        <v>437</v>
      </c>
    </row>
    <row r="64" spans="1:5" x14ac:dyDescent="0.25">
      <c r="A64" s="16" t="s">
        <v>438</v>
      </c>
      <c r="B64" s="16" t="s">
        <v>466</v>
      </c>
    </row>
    <row r="65" spans="1:4" x14ac:dyDescent="0.25">
      <c r="A65" s="16" t="s">
        <v>439</v>
      </c>
      <c r="B65" s="16" t="s">
        <v>466</v>
      </c>
    </row>
    <row r="66" spans="1:4" x14ac:dyDescent="0.25">
      <c r="A66" s="16" t="s">
        <v>440</v>
      </c>
      <c r="B66" s="16" t="s">
        <v>466</v>
      </c>
      <c r="C66" s="16" t="s">
        <v>466</v>
      </c>
    </row>
    <row r="67" spans="1:4" x14ac:dyDescent="0.25">
      <c r="A67" s="16" t="s">
        <v>441</v>
      </c>
    </row>
    <row r="68" spans="1:4" x14ac:dyDescent="0.25">
      <c r="A68" s="16" t="s">
        <v>442</v>
      </c>
    </row>
    <row r="69" spans="1:4" x14ac:dyDescent="0.25">
      <c r="A69" s="54" t="s">
        <v>1164</v>
      </c>
    </row>
    <row r="70" spans="1:4" x14ac:dyDescent="0.25">
      <c r="A70" s="16" t="s">
        <v>443</v>
      </c>
      <c r="B70" s="16" t="s">
        <v>466</v>
      </c>
      <c r="C70" s="16" t="s">
        <v>466</v>
      </c>
    </row>
    <row r="71" spans="1:4" x14ac:dyDescent="0.25">
      <c r="A71" s="16" t="s">
        <v>444</v>
      </c>
    </row>
    <row r="72" spans="1:4" x14ac:dyDescent="0.25">
      <c r="A72" s="54" t="s">
        <v>1165</v>
      </c>
    </row>
    <row r="73" spans="1:4" x14ac:dyDescent="0.25">
      <c r="A73" s="16" t="s">
        <v>445</v>
      </c>
    </row>
    <row r="74" spans="1:4" x14ac:dyDescent="0.25">
      <c r="A74" s="16" t="s">
        <v>447</v>
      </c>
    </row>
    <row r="75" spans="1:4" x14ac:dyDescent="0.25">
      <c r="A75" s="16" t="s">
        <v>446</v>
      </c>
    </row>
    <row r="76" spans="1:4" x14ac:dyDescent="0.25">
      <c r="A76" s="16" t="s">
        <v>448</v>
      </c>
      <c r="D76" s="53"/>
    </row>
    <row r="77" spans="1:4" x14ac:dyDescent="0.25">
      <c r="A77" s="16" t="s">
        <v>449</v>
      </c>
    </row>
    <row r="78" spans="1:4" x14ac:dyDescent="0.25">
      <c r="A78" s="16" t="s">
        <v>1170</v>
      </c>
    </row>
    <row r="79" spans="1:4" x14ac:dyDescent="0.25">
      <c r="A79" s="16" t="s">
        <v>450</v>
      </c>
      <c r="B79" s="16" t="s">
        <v>466</v>
      </c>
    </row>
    <row r="80" spans="1:4" x14ac:dyDescent="0.25">
      <c r="A80" s="16" t="s">
        <v>451</v>
      </c>
      <c r="B80" s="16" t="s">
        <v>466</v>
      </c>
      <c r="C80" s="16" t="s">
        <v>466</v>
      </c>
      <c r="D80" s="52" t="s">
        <v>469</v>
      </c>
    </row>
    <row r="81" spans="1:4" x14ac:dyDescent="0.25">
      <c r="A81" s="16" t="s">
        <v>452</v>
      </c>
      <c r="B81" s="16" t="s">
        <v>466</v>
      </c>
      <c r="C81" s="16" t="s">
        <v>466</v>
      </c>
    </row>
    <row r="82" spans="1:4" x14ac:dyDescent="0.25">
      <c r="A82" s="54" t="s">
        <v>1166</v>
      </c>
      <c r="B82" s="16" t="s">
        <v>466</v>
      </c>
    </row>
    <row r="83" spans="1:4" x14ac:dyDescent="0.25">
      <c r="A83" s="16" t="s">
        <v>453</v>
      </c>
    </row>
    <row r="84" spans="1:4" x14ac:dyDescent="0.25">
      <c r="A84" s="16" t="s">
        <v>454</v>
      </c>
    </row>
    <row r="85" spans="1:4" x14ac:dyDescent="0.25">
      <c r="A85" s="16" t="s">
        <v>455</v>
      </c>
    </row>
    <row r="86" spans="1:4" x14ac:dyDescent="0.25">
      <c r="A86" s="16" t="s">
        <v>1167</v>
      </c>
    </row>
    <row r="87" spans="1:4" x14ac:dyDescent="0.25">
      <c r="A87" s="54" t="s">
        <v>1168</v>
      </c>
      <c r="B87" s="16" t="s">
        <v>466</v>
      </c>
    </row>
    <row r="88" spans="1:4" x14ac:dyDescent="0.25">
      <c r="A88" s="16" t="s">
        <v>456</v>
      </c>
      <c r="C88" s="16" t="s">
        <v>466</v>
      </c>
      <c r="D88" s="52">
        <v>0</v>
      </c>
    </row>
    <row r="89" spans="1:4" x14ac:dyDescent="0.25">
      <c r="A89" s="16" t="s">
        <v>457</v>
      </c>
    </row>
    <row r="90" spans="1:4" x14ac:dyDescent="0.25">
      <c r="A90" s="54" t="s">
        <v>1169</v>
      </c>
    </row>
    <row r="91" spans="1:4" x14ac:dyDescent="0.25">
      <c r="A91" s="16" t="s">
        <v>458</v>
      </c>
    </row>
    <row r="92" spans="1:4" x14ac:dyDescent="0.25">
      <c r="A92" s="16" t="s">
        <v>461</v>
      </c>
    </row>
    <row r="93" spans="1:4" x14ac:dyDescent="0.25">
      <c r="A93" s="16" t="s">
        <v>459</v>
      </c>
    </row>
    <row r="94" spans="1:4" x14ac:dyDescent="0.25">
      <c r="A94" s="16" t="s">
        <v>460</v>
      </c>
    </row>
    <row r="95" spans="1:4" x14ac:dyDescent="0.25">
      <c r="A95" s="16" t="s">
        <v>462</v>
      </c>
    </row>
    <row r="96" spans="1:4" x14ac:dyDescent="0.25">
      <c r="A96" s="16" t="s">
        <v>463</v>
      </c>
    </row>
    <row r="97" spans="1:4" x14ac:dyDescent="0.25">
      <c r="A97" s="16" t="s">
        <v>464</v>
      </c>
      <c r="C97" s="16" t="s">
        <v>466</v>
      </c>
      <c r="D97" s="52" t="s">
        <v>469</v>
      </c>
    </row>
    <row r="98" spans="1:4" x14ac:dyDescent="0.25">
      <c r="A98" s="16" t="s">
        <v>465</v>
      </c>
      <c r="D98" s="52" t="s">
        <v>467</v>
      </c>
    </row>
  </sheetData>
  <autoFilter ref="A1:E98"/>
  <sortState ref="A2:E98">
    <sortCondition ref="A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23"/>
  <sheetViews>
    <sheetView zoomScaleNormal="100" workbookViewId="0">
      <pane ySplit="1" topLeftCell="A2" activePane="bottomLeft" state="frozen"/>
      <selection pane="bottomLeft" activeCell="E17" sqref="E17"/>
    </sheetView>
  </sheetViews>
  <sheetFormatPr defaultRowHeight="15" x14ac:dyDescent="0.25"/>
  <cols>
    <col min="1" max="1" width="9.140625" style="16"/>
    <col min="2" max="2" width="24.28515625" style="16" bestFit="1" customWidth="1"/>
    <col min="3" max="3" width="60.42578125" style="16" bestFit="1" customWidth="1"/>
    <col min="4" max="16384" width="9.140625" style="16"/>
  </cols>
  <sheetData>
    <row r="1" spans="1:4" x14ac:dyDescent="0.25">
      <c r="A1" s="19" t="s">
        <v>8</v>
      </c>
      <c r="B1" s="19" t="s">
        <v>369</v>
      </c>
      <c r="C1" s="19" t="s">
        <v>9</v>
      </c>
      <c r="D1" s="19" t="s">
        <v>370</v>
      </c>
    </row>
    <row r="2" spans="1:4" x14ac:dyDescent="0.25">
      <c r="A2" s="31" t="s">
        <v>0</v>
      </c>
      <c r="B2" s="16" t="s">
        <v>349</v>
      </c>
      <c r="C2" s="32" t="s">
        <v>7</v>
      </c>
    </row>
    <row r="3" spans="1:4" x14ac:dyDescent="0.25">
      <c r="A3" s="31" t="s">
        <v>1</v>
      </c>
      <c r="B3" s="16" t="s">
        <v>350</v>
      </c>
      <c r="C3" s="32" t="s">
        <v>11</v>
      </c>
    </row>
    <row r="4" spans="1:4" x14ac:dyDescent="0.25">
      <c r="A4" s="31" t="s">
        <v>2</v>
      </c>
      <c r="B4" s="16" t="s">
        <v>351</v>
      </c>
      <c r="C4" s="32" t="s">
        <v>12</v>
      </c>
      <c r="D4" s="16" t="s">
        <v>368</v>
      </c>
    </row>
    <row r="5" spans="1:4" x14ac:dyDescent="0.25">
      <c r="A5" s="31" t="s">
        <v>3</v>
      </c>
      <c r="B5" s="16" t="s">
        <v>352</v>
      </c>
      <c r="C5" s="32" t="s">
        <v>345</v>
      </c>
    </row>
    <row r="6" spans="1:4" x14ac:dyDescent="0.25">
      <c r="A6" s="31" t="s">
        <v>4</v>
      </c>
      <c r="B6" s="16" t="s">
        <v>353</v>
      </c>
      <c r="C6" s="32" t="s">
        <v>346</v>
      </c>
      <c r="D6" s="16" t="s">
        <v>371</v>
      </c>
    </row>
    <row r="7" spans="1:4" x14ac:dyDescent="0.25">
      <c r="A7" s="31" t="s">
        <v>5</v>
      </c>
      <c r="B7" s="16" t="s">
        <v>354</v>
      </c>
      <c r="C7" s="32" t="s">
        <v>13</v>
      </c>
    </row>
    <row r="8" spans="1:4" x14ac:dyDescent="0.25">
      <c r="A8" s="31" t="s">
        <v>6</v>
      </c>
      <c r="B8" s="16" t="s">
        <v>355</v>
      </c>
      <c r="C8" s="32" t="s">
        <v>14</v>
      </c>
    </row>
    <row r="9" spans="1:4" x14ac:dyDescent="0.25">
      <c r="A9" s="31" t="s">
        <v>10</v>
      </c>
      <c r="B9" s="16" t="s">
        <v>356</v>
      </c>
      <c r="C9" s="32" t="s">
        <v>15</v>
      </c>
    </row>
    <row r="10" spans="1:4" x14ac:dyDescent="0.25">
      <c r="A10" s="31" t="s">
        <v>16</v>
      </c>
      <c r="B10" s="16" t="s">
        <v>18</v>
      </c>
      <c r="C10" s="32" t="s">
        <v>18</v>
      </c>
    </row>
    <row r="11" spans="1:4" x14ac:dyDescent="0.25">
      <c r="A11" s="31" t="s">
        <v>17</v>
      </c>
      <c r="B11" s="16" t="s">
        <v>19</v>
      </c>
      <c r="C11" s="32" t="s">
        <v>19</v>
      </c>
    </row>
    <row r="12" spans="1:4" x14ac:dyDescent="0.25">
      <c r="A12" s="31" t="s">
        <v>20</v>
      </c>
      <c r="B12" s="16" t="s">
        <v>357</v>
      </c>
      <c r="C12" s="32" t="s">
        <v>22</v>
      </c>
    </row>
    <row r="13" spans="1:4" x14ac:dyDescent="0.25">
      <c r="A13" s="31" t="s">
        <v>21</v>
      </c>
      <c r="B13" s="16" t="s">
        <v>358</v>
      </c>
      <c r="C13" s="32" t="s">
        <v>23</v>
      </c>
    </row>
    <row r="14" spans="1:4" x14ac:dyDescent="0.25">
      <c r="A14" s="31" t="s">
        <v>24</v>
      </c>
      <c r="B14" s="16" t="s">
        <v>359</v>
      </c>
      <c r="C14" s="32" t="s">
        <v>27</v>
      </c>
    </row>
    <row r="15" spans="1:4" x14ac:dyDescent="0.25">
      <c r="A15" s="31" t="s">
        <v>25</v>
      </c>
      <c r="B15" s="16" t="s">
        <v>360</v>
      </c>
      <c r="C15" s="32" t="s">
        <v>28</v>
      </c>
    </row>
    <row r="16" spans="1:4" x14ac:dyDescent="0.25">
      <c r="A16" s="31" t="s">
        <v>26</v>
      </c>
      <c r="B16" s="16" t="s">
        <v>361</v>
      </c>
      <c r="C16" s="32" t="s">
        <v>29</v>
      </c>
    </row>
    <row r="17" spans="1:4" x14ac:dyDescent="0.25">
      <c r="A17" s="16" t="s">
        <v>165</v>
      </c>
      <c r="B17" s="16" t="s">
        <v>362</v>
      </c>
      <c r="C17" s="16" t="s">
        <v>166</v>
      </c>
    </row>
    <row r="18" spans="1:4" x14ac:dyDescent="0.25">
      <c r="A18" s="16" t="s">
        <v>168</v>
      </c>
      <c r="B18" s="16" t="s">
        <v>363</v>
      </c>
      <c r="C18" s="16" t="s">
        <v>169</v>
      </c>
    </row>
    <row r="19" spans="1:4" x14ac:dyDescent="0.25">
      <c r="A19" s="16" t="s">
        <v>167</v>
      </c>
      <c r="B19" s="16" t="s">
        <v>364</v>
      </c>
      <c r="C19" s="16" t="s">
        <v>170</v>
      </c>
    </row>
    <row r="20" spans="1:4" x14ac:dyDescent="0.25">
      <c r="A20" s="16" t="s">
        <v>171</v>
      </c>
      <c r="B20" s="16" t="s">
        <v>365</v>
      </c>
      <c r="C20" s="16" t="s">
        <v>172</v>
      </c>
    </row>
    <row r="21" spans="1:4" x14ac:dyDescent="0.25">
      <c r="A21" s="16" t="s">
        <v>173</v>
      </c>
      <c r="B21" s="16" t="s">
        <v>366</v>
      </c>
      <c r="C21" s="16" t="s">
        <v>174</v>
      </c>
      <c r="D21" s="16" t="s">
        <v>367</v>
      </c>
    </row>
    <row r="22" spans="1:4" x14ac:dyDescent="0.25">
      <c r="A22" s="31" t="s">
        <v>99</v>
      </c>
      <c r="B22" s="16" t="s">
        <v>372</v>
      </c>
      <c r="C22" s="32" t="s">
        <v>100</v>
      </c>
    </row>
    <row r="23" spans="1:4" x14ac:dyDescent="0.25">
      <c r="A23" s="16" t="s">
        <v>347</v>
      </c>
      <c r="B23" s="16" t="s">
        <v>373</v>
      </c>
      <c r="C23" s="16" t="s">
        <v>348</v>
      </c>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General</vt:lpstr>
      <vt:lpstr>Theme</vt:lpstr>
      <vt:lpstr>Matching Functions</vt:lpstr>
      <vt:lpstr>KWLookup</vt:lpstr>
      <vt:lpstr>Keywords</vt:lpstr>
      <vt:lpstr>KeywordXML</vt:lpstr>
      <vt:lpstr>Keyword Lists</vt:lpstr>
      <vt:lpstr>WSKeywords</vt:lpstr>
      <vt:lpstr>TM1S.cfg</vt:lpstr>
      <vt:lpstr>Symbols</vt:lpstr>
      <vt:lpstr>KeywordGroups</vt:lpstr>
      <vt:lpstr>KeywordGroupsLookup</vt:lpstr>
      <vt:lpstr>KeywordTypes</vt:lpstr>
      <vt:lpstr>KeywordUsage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2011-05-05T18:46:29Z</dcterms:created>
  <dcterms:modified xsi:type="dcterms:W3CDTF">2012-02-08T23:37:57Z</dcterms:modified>
</cp:coreProperties>
</file>